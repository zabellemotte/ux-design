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isabelle_motte_uclouvain_be/Documents/Bureau/my-first-book/src/images/"/>
    </mc:Choice>
  </mc:AlternateContent>
  <xr:revisionPtr revIDLastSave="9" documentId="8_{F157D61E-830B-486C-9ADF-0348D47BD25B}" xr6:coauthVersionLast="47" xr6:coauthVersionMax="47" xr10:uidLastSave="{3487ED19-7BD2-4BD1-BF4F-519A79A714FA}"/>
  <bookViews>
    <workbookView xWindow="28680" yWindow="-120" windowWidth="29040" windowHeight="15720" xr2:uid="{6A0FE668-B3EF-4225-B98D-BFAC3F936FF8}"/>
  </bookViews>
  <sheets>
    <sheet name="Consignes" sheetId="8" r:id="rId1"/>
    <sheet name="Catégories" sheetId="6" r:id="rId2"/>
    <sheet name="Cartes" sheetId="2" r:id="rId3"/>
    <sheet name="Réponses" sheetId="3" r:id="rId4"/>
    <sheet name="Analyse du classement" sheetId="4" r:id="rId5"/>
    <sheet name="Fiabilité catégorie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4" l="1"/>
  <c r="R4" i="4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J4" i="4"/>
  <c r="V4" i="4"/>
  <c r="G6" i="4"/>
  <c r="P6" i="4"/>
  <c r="P7" i="4"/>
  <c r="U7" i="4"/>
  <c r="J8" i="4"/>
  <c r="N8" i="4"/>
  <c r="R8" i="4"/>
  <c r="C9" i="4"/>
  <c r="F9" i="4"/>
  <c r="I9" i="4"/>
  <c r="J9" i="4"/>
  <c r="K9" i="4"/>
  <c r="N9" i="4"/>
  <c r="Q9" i="4"/>
  <c r="R9" i="4"/>
  <c r="S9" i="4"/>
  <c r="V9" i="4"/>
  <c r="E10" i="4"/>
  <c r="F10" i="4"/>
  <c r="G10" i="4"/>
  <c r="J10" i="4"/>
  <c r="M10" i="4"/>
  <c r="N10" i="4"/>
  <c r="O10" i="4"/>
  <c r="R10" i="4"/>
  <c r="U10" i="4"/>
  <c r="V10" i="4"/>
  <c r="C11" i="4"/>
  <c r="F11" i="4"/>
  <c r="I11" i="4"/>
  <c r="J11" i="4"/>
  <c r="K11" i="4"/>
  <c r="N11" i="4"/>
  <c r="Q11" i="4"/>
  <c r="R11" i="4"/>
  <c r="S11" i="4"/>
  <c r="V11" i="4"/>
  <c r="E12" i="4"/>
  <c r="F12" i="4"/>
  <c r="G12" i="4"/>
  <c r="J12" i="4"/>
  <c r="M12" i="4"/>
  <c r="N12" i="4"/>
  <c r="O12" i="4"/>
  <c r="R12" i="4"/>
  <c r="U12" i="4"/>
  <c r="V12" i="4"/>
  <c r="C13" i="4"/>
  <c r="F13" i="4"/>
  <c r="I13" i="4"/>
  <c r="J13" i="4"/>
  <c r="K13" i="4"/>
  <c r="N13" i="4"/>
  <c r="Q13" i="4"/>
  <c r="R13" i="4"/>
  <c r="S13" i="4"/>
  <c r="V13" i="4"/>
  <c r="E14" i="4"/>
  <c r="F14" i="4"/>
  <c r="G14" i="4"/>
  <c r="J14" i="4"/>
  <c r="M14" i="4"/>
  <c r="N14" i="4"/>
  <c r="O14" i="4"/>
  <c r="R14" i="4"/>
  <c r="U14" i="4"/>
  <c r="V14" i="4"/>
  <c r="C15" i="4"/>
  <c r="F15" i="4"/>
  <c r="I15" i="4"/>
  <c r="J15" i="4"/>
  <c r="K15" i="4"/>
  <c r="N15" i="4"/>
  <c r="Q15" i="4"/>
  <c r="R15" i="4"/>
  <c r="S15" i="4"/>
  <c r="V15" i="4"/>
  <c r="E16" i="4"/>
  <c r="F16" i="4"/>
  <c r="G16" i="4"/>
  <c r="J16" i="4"/>
  <c r="M16" i="4"/>
  <c r="N16" i="4"/>
  <c r="O16" i="4"/>
  <c r="R16" i="4"/>
  <c r="U16" i="4"/>
  <c r="V16" i="4"/>
  <c r="C17" i="4"/>
  <c r="F17" i="4"/>
  <c r="I17" i="4"/>
  <c r="J17" i="4"/>
  <c r="K17" i="4"/>
  <c r="N17" i="4"/>
  <c r="Q17" i="4"/>
  <c r="R17" i="4"/>
  <c r="S17" i="4"/>
  <c r="V17" i="4"/>
  <c r="E18" i="4"/>
  <c r="F18" i="4"/>
  <c r="G18" i="4"/>
  <c r="J18" i="4"/>
  <c r="K18" i="4"/>
  <c r="L18" i="4"/>
  <c r="M18" i="4"/>
  <c r="N18" i="4"/>
  <c r="O18" i="4"/>
  <c r="P18" i="4"/>
  <c r="R18" i="4"/>
  <c r="S18" i="4"/>
  <c r="T18" i="4"/>
  <c r="U18" i="4"/>
  <c r="V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E3" i="4"/>
  <c r="D3" i="4"/>
  <c r="O8" i="4" l="1"/>
  <c r="Q7" i="4"/>
  <c r="J6" i="4"/>
  <c r="O4" i="4"/>
  <c r="M8" i="4"/>
  <c r="M7" i="4"/>
  <c r="F6" i="4"/>
  <c r="C4" i="4"/>
  <c r="I7" i="4"/>
  <c r="T5" i="4"/>
  <c r="G8" i="4"/>
  <c r="D7" i="4"/>
  <c r="L5" i="4"/>
  <c r="V8" i="4"/>
  <c r="F8" i="4"/>
  <c r="V6" i="4"/>
  <c r="K5" i="4"/>
  <c r="U8" i="4"/>
  <c r="E8" i="4"/>
  <c r="U6" i="4"/>
  <c r="J5" i="4"/>
  <c r="D18" i="4"/>
  <c r="P17" i="4"/>
  <c r="H17" i="4"/>
  <c r="T16" i="4"/>
  <c r="L16" i="4"/>
  <c r="D16" i="4"/>
  <c r="P15" i="4"/>
  <c r="H15" i="4"/>
  <c r="T14" i="4"/>
  <c r="L14" i="4"/>
  <c r="D14" i="4"/>
  <c r="P13" i="4"/>
  <c r="H13" i="4"/>
  <c r="T12" i="4"/>
  <c r="L12" i="4"/>
  <c r="D12" i="4"/>
  <c r="P11" i="4"/>
  <c r="H11" i="4"/>
  <c r="T10" i="4"/>
  <c r="L10" i="4"/>
  <c r="D10" i="4"/>
  <c r="P9" i="4"/>
  <c r="H9" i="4"/>
  <c r="T8" i="4"/>
  <c r="L8" i="4"/>
  <c r="D8" i="4"/>
  <c r="L7" i="4"/>
  <c r="T6" i="4"/>
  <c r="V5" i="4"/>
  <c r="E5" i="4"/>
  <c r="C18" i="4"/>
  <c r="O17" i="4"/>
  <c r="G17" i="4"/>
  <c r="S16" i="4"/>
  <c r="K16" i="4"/>
  <c r="C16" i="4"/>
  <c r="O15" i="4"/>
  <c r="G15" i="4"/>
  <c r="S14" i="4"/>
  <c r="K14" i="4"/>
  <c r="C14" i="4"/>
  <c r="O13" i="4"/>
  <c r="G13" i="4"/>
  <c r="S12" i="4"/>
  <c r="K12" i="4"/>
  <c r="C12" i="4"/>
  <c r="O11" i="4"/>
  <c r="G11" i="4"/>
  <c r="S10" i="4"/>
  <c r="K10" i="4"/>
  <c r="C10" i="4"/>
  <c r="O9" i="4"/>
  <c r="G9" i="4"/>
  <c r="S8" i="4"/>
  <c r="K8" i="4"/>
  <c r="V7" i="4"/>
  <c r="J7" i="4"/>
  <c r="Q6" i="4"/>
  <c r="U5" i="4"/>
  <c r="D5" i="4"/>
  <c r="Q18" i="4"/>
  <c r="I18" i="4"/>
  <c r="U17" i="4"/>
  <c r="M17" i="4"/>
  <c r="E17" i="4"/>
  <c r="Q16" i="4"/>
  <c r="I16" i="4"/>
  <c r="U15" i="4"/>
  <c r="M15" i="4"/>
  <c r="E15" i="4"/>
  <c r="Q14" i="4"/>
  <c r="I14" i="4"/>
  <c r="U13" i="4"/>
  <c r="M13" i="4"/>
  <c r="E13" i="4"/>
  <c r="Q12" i="4"/>
  <c r="I12" i="4"/>
  <c r="U11" i="4"/>
  <c r="M11" i="4"/>
  <c r="E11" i="4"/>
  <c r="Q10" i="4"/>
  <c r="I10" i="4"/>
  <c r="U9" i="4"/>
  <c r="M9" i="4"/>
  <c r="E9" i="4"/>
  <c r="Q8" i="4"/>
  <c r="I8" i="4"/>
  <c r="T7" i="4"/>
  <c r="H7" i="4"/>
  <c r="N6" i="4"/>
  <c r="P5" i="4"/>
  <c r="T4" i="4"/>
  <c r="H18" i="4"/>
  <c r="T17" i="4"/>
  <c r="L17" i="4"/>
  <c r="D17" i="4"/>
  <c r="P16" i="4"/>
  <c r="H16" i="4"/>
  <c r="T15" i="4"/>
  <c r="L15" i="4"/>
  <c r="D15" i="4"/>
  <c r="P14" i="4"/>
  <c r="H14" i="4"/>
  <c r="T13" i="4"/>
  <c r="L13" i="4"/>
  <c r="D13" i="4"/>
  <c r="P12" i="4"/>
  <c r="H12" i="4"/>
  <c r="T11" i="4"/>
  <c r="L11" i="4"/>
  <c r="D11" i="4"/>
  <c r="P10" i="4"/>
  <c r="H10" i="4"/>
  <c r="T9" i="4"/>
  <c r="L9" i="4"/>
  <c r="D9" i="4"/>
  <c r="P8" i="4"/>
  <c r="H8" i="4"/>
  <c r="R7" i="4"/>
  <c r="E7" i="4"/>
  <c r="L6" i="4"/>
  <c r="N5" i="4"/>
  <c r="C8" i="4"/>
  <c r="O7" i="4"/>
  <c r="G7" i="4"/>
  <c r="S6" i="4"/>
  <c r="I6" i="4"/>
  <c r="S5" i="4"/>
  <c r="H5" i="4"/>
  <c r="Q4" i="4"/>
  <c r="N7" i="4"/>
  <c r="F7" i="4"/>
  <c r="R6" i="4"/>
  <c r="H6" i="4"/>
  <c r="R5" i="4"/>
  <c r="F5" i="4"/>
  <c r="P4" i="4"/>
  <c r="S7" i="4"/>
  <c r="K7" i="4"/>
  <c r="C7" i="4"/>
  <c r="O6" i="4"/>
  <c r="D6" i="4"/>
  <c r="M5" i="4"/>
  <c r="C5" i="4"/>
  <c r="G4" i="4"/>
  <c r="N4" i="4"/>
  <c r="I4" i="4"/>
  <c r="H4" i="4"/>
  <c r="F4" i="4"/>
  <c r="M6" i="4"/>
  <c r="E6" i="4"/>
  <c r="Q5" i="4"/>
  <c r="I5" i="4"/>
  <c r="U4" i="4"/>
  <c r="M4" i="4"/>
  <c r="E4" i="4"/>
  <c r="L4" i="4"/>
  <c r="D4" i="4"/>
  <c r="K6" i="4"/>
  <c r="C6" i="4"/>
  <c r="O5" i="4"/>
  <c r="G5" i="4"/>
  <c r="S4" i="4"/>
  <c r="K4" i="4"/>
  <c r="C1" i="4" a="1"/>
  <c r="C1" i="4" s="1"/>
  <c r="D1" i="1" a="1"/>
  <c r="D1" i="1" s="1"/>
  <c r="A3" i="4" a="1"/>
  <c r="A3" i="4" s="1"/>
  <c r="B3" i="4" s="1"/>
  <c r="B68" i="4" l="1"/>
  <c r="B76" i="4"/>
  <c r="B28" i="4"/>
  <c r="B102" i="4"/>
  <c r="B74" i="4"/>
  <c r="B58" i="4"/>
  <c r="B42" i="4"/>
  <c r="B26" i="4"/>
  <c r="B10" i="4"/>
  <c r="B99" i="4"/>
  <c r="B4" i="4"/>
  <c r="B60" i="4"/>
  <c r="B12" i="4"/>
  <c r="B101" i="4"/>
  <c r="B71" i="4"/>
  <c r="B39" i="4"/>
  <c r="B23" i="4"/>
  <c r="B7" i="4"/>
  <c r="B84" i="4"/>
  <c r="B92" i="4"/>
  <c r="B44" i="4"/>
  <c r="B90" i="4"/>
  <c r="B87" i="4"/>
  <c r="B55" i="4"/>
  <c r="B100" i="4"/>
  <c r="B86" i="4"/>
  <c r="B70" i="4"/>
  <c r="B54" i="4"/>
  <c r="B38" i="4"/>
  <c r="B22" i="4"/>
  <c r="B6" i="4"/>
  <c r="B20" i="4"/>
  <c r="B52" i="4"/>
  <c r="B82" i="4"/>
  <c r="B66" i="4"/>
  <c r="B50" i="4"/>
  <c r="B34" i="4"/>
  <c r="B18" i="4"/>
  <c r="B36" i="4"/>
  <c r="B98" i="4"/>
  <c r="B95" i="4"/>
  <c r="B79" i="4"/>
  <c r="B63" i="4"/>
  <c r="B47" i="4"/>
  <c r="B31" i="4"/>
  <c r="B15" i="4"/>
  <c r="B94" i="4"/>
  <c r="B78" i="4"/>
  <c r="B62" i="4"/>
  <c r="B46" i="4"/>
  <c r="B30" i="4"/>
  <c r="B14" i="4"/>
  <c r="B93" i="4"/>
  <c r="B85" i="4"/>
  <c r="B77" i="4"/>
  <c r="B69" i="4"/>
  <c r="B61" i="4"/>
  <c r="B53" i="4"/>
  <c r="B45" i="4"/>
  <c r="B37" i="4"/>
  <c r="B29" i="4"/>
  <c r="B21" i="4"/>
  <c r="B13" i="4"/>
  <c r="B5" i="4"/>
  <c r="B91" i="4"/>
  <c r="B83" i="4"/>
  <c r="B75" i="4"/>
  <c r="B67" i="4"/>
  <c r="B59" i="4"/>
  <c r="B51" i="4"/>
  <c r="B43" i="4"/>
  <c r="B35" i="4"/>
  <c r="B27" i="4"/>
  <c r="B19" i="4"/>
  <c r="B11" i="4"/>
  <c r="B97" i="4"/>
  <c r="B89" i="4"/>
  <c r="B81" i="4"/>
  <c r="B73" i="4"/>
  <c r="B65" i="4"/>
  <c r="B57" i="4"/>
  <c r="B49" i="4"/>
  <c r="B41" i="4"/>
  <c r="B33" i="4"/>
  <c r="B25" i="4"/>
  <c r="B17" i="4"/>
  <c r="B9" i="4"/>
  <c r="B96" i="4"/>
  <c r="B88" i="4"/>
  <c r="B80" i="4"/>
  <c r="B72" i="4"/>
  <c r="B64" i="4"/>
  <c r="B56" i="4"/>
  <c r="B48" i="4"/>
  <c r="B40" i="4"/>
  <c r="B32" i="4"/>
  <c r="B24" i="4"/>
  <c r="B16" i="4"/>
  <c r="B8" i="4"/>
  <c r="D103" i="4" l="1"/>
  <c r="L103" i="4"/>
  <c r="T103" i="4"/>
  <c r="J103" i="4"/>
  <c r="K103" i="4"/>
  <c r="F103" i="4"/>
  <c r="H103" i="4"/>
  <c r="Q103" i="4"/>
  <c r="U103" i="4"/>
  <c r="N103" i="4"/>
  <c r="O103" i="4"/>
  <c r="G103" i="4"/>
  <c r="S103" i="4"/>
  <c r="R103" i="4"/>
  <c r="P103" i="4"/>
  <c r="V103" i="4"/>
  <c r="C103" i="4"/>
  <c r="E103" i="4"/>
  <c r="I103" i="4"/>
  <c r="M103" i="4"/>
  <c r="T7" i="1"/>
  <c r="W7" i="1"/>
  <c r="J7" i="1"/>
  <c r="R7" i="1"/>
  <c r="D7" i="1"/>
  <c r="L7" i="1"/>
  <c r="M7" i="1"/>
  <c r="U7" i="1"/>
  <c r="E13" i="1"/>
  <c r="M13" i="1"/>
  <c r="U13" i="1"/>
  <c r="J13" i="1"/>
  <c r="N15" i="1"/>
  <c r="W15" i="1"/>
  <c r="R13" i="1"/>
  <c r="D13" i="1"/>
  <c r="M15" i="1"/>
  <c r="E15" i="1"/>
  <c r="U15" i="1"/>
  <c r="R15" i="1" l="1"/>
  <c r="S15" i="1"/>
  <c r="K4" i="1"/>
  <c r="F17" i="1"/>
  <c r="H13" i="1"/>
  <c r="T17" i="1"/>
  <c r="E11" i="1"/>
  <c r="E14" i="1"/>
  <c r="U21" i="1"/>
  <c r="P4" i="1"/>
  <c r="V6" i="1"/>
  <c r="R21" i="1"/>
  <c r="T6" i="1"/>
  <c r="K6" i="1"/>
  <c r="R6" i="1"/>
  <c r="S8" i="1"/>
  <c r="O2" i="1"/>
  <c r="V2" i="1"/>
  <c r="E19" i="1"/>
  <c r="P16" i="1"/>
  <c r="L19" i="1"/>
  <c r="O16" i="1"/>
  <c r="K19" i="1"/>
  <c r="I19" i="1"/>
  <c r="T16" i="1"/>
  <c r="P19" i="1"/>
  <c r="D15" i="1"/>
  <c r="K15" i="1"/>
  <c r="G15" i="1"/>
  <c r="N13" i="1"/>
  <c r="E7" i="1"/>
  <c r="T15" i="1"/>
  <c r="F15" i="1"/>
  <c r="I17" i="1"/>
  <c r="P15" i="1"/>
  <c r="T13" i="1"/>
  <c r="J15" i="1"/>
  <c r="G17" i="1"/>
  <c r="N17" i="1"/>
  <c r="P13" i="1"/>
  <c r="V4" i="1"/>
  <c r="M11" i="1"/>
  <c r="M14" i="1"/>
  <c r="H6" i="1"/>
  <c r="D21" i="1"/>
  <c r="S11" i="1"/>
  <c r="S14" i="1"/>
  <c r="J14" i="1"/>
  <c r="E5" i="1"/>
  <c r="H11" i="1"/>
  <c r="H14" i="1"/>
  <c r="S6" i="1"/>
  <c r="O21" i="1"/>
  <c r="F11" i="1"/>
  <c r="F14" i="1"/>
  <c r="V21" i="1"/>
  <c r="W2" i="1"/>
  <c r="S20" i="1"/>
  <c r="J16" i="1"/>
  <c r="F19" i="1"/>
  <c r="E18" i="1"/>
  <c r="Q16" i="1"/>
  <c r="M19" i="1"/>
  <c r="L18" i="1"/>
  <c r="D3" i="1"/>
  <c r="T19" i="1"/>
  <c r="K18" i="1"/>
  <c r="W16" i="1"/>
  <c r="S19" i="1"/>
  <c r="J18" i="1"/>
  <c r="V16" i="1"/>
  <c r="R19" i="1"/>
  <c r="I18" i="1"/>
  <c r="U16" i="1"/>
  <c r="Q19" i="1"/>
  <c r="P18" i="1"/>
  <c r="H3" i="1"/>
  <c r="D10" i="1"/>
  <c r="N21" i="1"/>
  <c r="I16" i="1"/>
  <c r="M16" i="1"/>
  <c r="H15" i="1"/>
  <c r="V13" i="1"/>
  <c r="S17" i="1"/>
  <c r="F4" i="1"/>
  <c r="L17" i="1"/>
  <c r="Q6" i="1"/>
  <c r="M21" i="1"/>
  <c r="H4" i="1"/>
  <c r="P5" i="1"/>
  <c r="H12" i="1"/>
  <c r="W6" i="1"/>
  <c r="S21" i="1"/>
  <c r="N6" i="1"/>
  <c r="J21" i="1"/>
  <c r="I11" i="1"/>
  <c r="I14" i="1"/>
  <c r="L6" i="1"/>
  <c r="H21" i="1"/>
  <c r="O7" i="1"/>
  <c r="S12" i="1"/>
  <c r="V7" i="1"/>
  <c r="J6" i="1"/>
  <c r="F21" i="1"/>
  <c r="K8" i="1"/>
  <c r="G2" i="1"/>
  <c r="W9" i="1"/>
  <c r="R8" i="1"/>
  <c r="N2" i="1"/>
  <c r="J20" i="1"/>
  <c r="U2" i="1"/>
  <c r="Q20" i="1"/>
  <c r="H16" i="1"/>
  <c r="D19" i="1"/>
  <c r="G16" i="1"/>
  <c r="W20" i="1"/>
  <c r="F16" i="1"/>
  <c r="V20" i="1"/>
  <c r="E16" i="1"/>
  <c r="U20" i="1"/>
  <c r="L16" i="1"/>
  <c r="H19" i="1"/>
  <c r="P12" i="1"/>
  <c r="Q11" i="1"/>
  <c r="K20" i="1"/>
  <c r="N16" i="1"/>
  <c r="J19" i="1"/>
  <c r="H18" i="1"/>
  <c r="F13" i="1"/>
  <c r="O13" i="1"/>
  <c r="O15" i="1"/>
  <c r="Q13" i="1"/>
  <c r="D17" i="1"/>
  <c r="W11" i="1"/>
  <c r="I6" i="1"/>
  <c r="E21" i="1"/>
  <c r="H5" i="1"/>
  <c r="O6" i="1"/>
  <c r="K21" i="1"/>
  <c r="F6" i="1"/>
  <c r="V12" i="1"/>
  <c r="U6" i="1"/>
  <c r="Q21" i="1"/>
  <c r="T4" i="1"/>
  <c r="P7" i="1"/>
  <c r="D6" i="1"/>
  <c r="T12" i="1"/>
  <c r="G7" i="1"/>
  <c r="S5" i="1"/>
  <c r="K12" i="1"/>
  <c r="R4" i="1"/>
  <c r="N7" i="1"/>
  <c r="R12" i="1"/>
  <c r="W3" i="1"/>
  <c r="S10" i="1"/>
  <c r="O9" i="1"/>
  <c r="J8" i="1"/>
  <c r="F2" i="1"/>
  <c r="V9" i="1"/>
  <c r="Q8" i="1"/>
  <c r="M2" i="1"/>
  <c r="I20" i="1"/>
  <c r="T2" i="1"/>
  <c r="P20" i="1"/>
  <c r="W8" i="1"/>
  <c r="S2" i="1"/>
  <c r="O20" i="1"/>
  <c r="V8" i="1"/>
  <c r="R2" i="1"/>
  <c r="N20" i="1"/>
  <c r="U8" i="1"/>
  <c r="Q2" i="1"/>
  <c r="M20" i="1"/>
  <c r="D16" i="1"/>
  <c r="T20" i="1"/>
  <c r="G21" i="1"/>
  <c r="V15" i="1"/>
  <c r="O11" i="1"/>
  <c r="J11" i="1"/>
  <c r="I13" i="1"/>
  <c r="U17" i="1"/>
  <c r="Q4" i="1"/>
  <c r="Q12" i="1"/>
  <c r="T11" i="1"/>
  <c r="T14" i="1"/>
  <c r="W4" i="1"/>
  <c r="S7" i="1"/>
  <c r="G6" i="1"/>
  <c r="W12" i="1"/>
  <c r="V5" i="1"/>
  <c r="N12" i="1"/>
  <c r="M6" i="1"/>
  <c r="I21" i="1"/>
  <c r="L4" i="1"/>
  <c r="H7" i="1"/>
  <c r="T5" i="1"/>
  <c r="L12" i="1"/>
  <c r="K5" i="1"/>
  <c r="S18" i="1"/>
  <c r="J4" i="1"/>
  <c r="F7" i="1"/>
  <c r="R5" i="1"/>
  <c r="J12" i="1"/>
  <c r="O3" i="1"/>
  <c r="K10" i="1"/>
  <c r="G9" i="1"/>
  <c r="V3" i="1"/>
  <c r="R10" i="1"/>
  <c r="N9" i="1"/>
  <c r="I8" i="1"/>
  <c r="E2" i="1"/>
  <c r="U9" i="1"/>
  <c r="P8" i="1"/>
  <c r="L2" i="1"/>
  <c r="H20" i="1"/>
  <c r="O8" i="1"/>
  <c r="K2" i="1"/>
  <c r="G20" i="1"/>
  <c r="N8" i="1"/>
  <c r="J2" i="1"/>
  <c r="F20" i="1"/>
  <c r="M8" i="1"/>
  <c r="I2" i="1"/>
  <c r="E20" i="1"/>
  <c r="T8" i="1"/>
  <c r="P2" i="1"/>
  <c r="L20" i="1"/>
  <c r="Q14" i="1"/>
  <c r="P21" i="1"/>
  <c r="R20" i="1"/>
  <c r="W13" i="1"/>
  <c r="Q17" i="1"/>
  <c r="P17" i="1"/>
  <c r="S13" i="1"/>
  <c r="M17" i="1"/>
  <c r="K17" i="1"/>
  <c r="R11" i="1"/>
  <c r="I4" i="1"/>
  <c r="Q5" i="1"/>
  <c r="I12" i="1"/>
  <c r="L11" i="1"/>
  <c r="L14" i="1"/>
  <c r="O4" i="1"/>
  <c r="K7" i="1"/>
  <c r="W5" i="1"/>
  <c r="O12" i="1"/>
  <c r="N5" i="1"/>
  <c r="F12" i="1"/>
  <c r="U4" i="1"/>
  <c r="Q7" i="1"/>
  <c r="E6" i="1"/>
  <c r="U12" i="1"/>
  <c r="D4" i="1"/>
  <c r="L5" i="1"/>
  <c r="W18" i="1"/>
  <c r="W14" i="1"/>
  <c r="J5" i="1"/>
  <c r="O18" i="1"/>
  <c r="G3" i="1"/>
  <c r="W19" i="1"/>
  <c r="V18" i="1"/>
  <c r="N3" i="1"/>
  <c r="J10" i="1"/>
  <c r="F9" i="1"/>
  <c r="U3" i="1"/>
  <c r="Q10" i="1"/>
  <c r="M9" i="1"/>
  <c r="H8" i="1"/>
  <c r="D2" i="1"/>
  <c r="T9" i="1"/>
  <c r="G8" i="1"/>
  <c r="W10" i="1"/>
  <c r="S9" i="1"/>
  <c r="F8" i="1"/>
  <c r="V10" i="1"/>
  <c r="R9" i="1"/>
  <c r="E8" i="1"/>
  <c r="U10" i="1"/>
  <c r="Q9" i="1"/>
  <c r="L8" i="1"/>
  <c r="H2" i="1"/>
  <c r="D20" i="1"/>
  <c r="K14" i="1"/>
  <c r="Q15" i="1"/>
  <c r="G13" i="1"/>
  <c r="H17" i="1"/>
  <c r="K13" i="1"/>
  <c r="W17" i="1"/>
  <c r="G11" i="1"/>
  <c r="E17" i="1"/>
  <c r="R17" i="1"/>
  <c r="I5" i="1"/>
  <c r="D11" i="1"/>
  <c r="D14" i="1"/>
  <c r="T21" i="1"/>
  <c r="G4" i="1"/>
  <c r="O5" i="1"/>
  <c r="G12" i="1"/>
  <c r="F5" i="1"/>
  <c r="M4" i="1"/>
  <c r="I7" i="1"/>
  <c r="U5" i="1"/>
  <c r="M12" i="1"/>
  <c r="D5" i="1"/>
  <c r="O14" i="1"/>
  <c r="V11" i="1"/>
  <c r="V14" i="1"/>
  <c r="G18" i="1"/>
  <c r="S16" i="1"/>
  <c r="O19" i="1"/>
  <c r="N18" i="1"/>
  <c r="F3" i="1"/>
  <c r="V19" i="1"/>
  <c r="U18" i="1"/>
  <c r="M3" i="1"/>
  <c r="I10" i="1"/>
  <c r="E9" i="1"/>
  <c r="T3" i="1"/>
  <c r="P10" i="1"/>
  <c r="L9" i="1"/>
  <c r="S3" i="1"/>
  <c r="O10" i="1"/>
  <c r="K9" i="1"/>
  <c r="R3" i="1"/>
  <c r="N10" i="1"/>
  <c r="J9" i="1"/>
  <c r="Q3" i="1"/>
  <c r="M10" i="1"/>
  <c r="I9" i="1"/>
  <c r="D8" i="1"/>
  <c r="T10" i="1"/>
  <c r="P9" i="1"/>
  <c r="K11" i="1"/>
  <c r="D18" i="1"/>
  <c r="L15" i="1"/>
  <c r="I15" i="1"/>
  <c r="L13" i="1"/>
  <c r="S4" i="1"/>
  <c r="N4" i="1"/>
  <c r="O17" i="1"/>
  <c r="V17" i="1"/>
  <c r="J17" i="1"/>
  <c r="U11" i="1"/>
  <c r="U14" i="1"/>
  <c r="P6" i="1"/>
  <c r="L21" i="1"/>
  <c r="G5" i="1"/>
  <c r="R14" i="1"/>
  <c r="E4" i="1"/>
  <c r="M5" i="1"/>
  <c r="E12" i="1"/>
  <c r="P11" i="1"/>
  <c r="P14" i="1"/>
  <c r="G14" i="1"/>
  <c r="W21" i="1"/>
  <c r="N11" i="1"/>
  <c r="N14" i="1"/>
  <c r="K16" i="1"/>
  <c r="G19" i="1"/>
  <c r="F18" i="1"/>
  <c r="R16" i="1"/>
  <c r="N19" i="1"/>
  <c r="M18" i="1"/>
  <c r="E3" i="1"/>
  <c r="U19" i="1"/>
  <c r="T18" i="1"/>
  <c r="L3" i="1"/>
  <c r="H10" i="1"/>
  <c r="D9" i="1"/>
  <c r="K3" i="1"/>
  <c r="G10" i="1"/>
  <c r="R18" i="1"/>
  <c r="J3" i="1"/>
  <c r="F10" i="1"/>
  <c r="Q18" i="1"/>
  <c r="I3" i="1"/>
  <c r="E10" i="1"/>
  <c r="D12" i="1"/>
  <c r="P3" i="1"/>
  <c r="L10" i="1"/>
  <c r="H9" i="1"/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<sst xmlns="http://schemas.openxmlformats.org/spreadsheetml/2006/main" count="191" uniqueCount="170">
  <si>
    <t>Libellé de catégorie</t>
  </si>
  <si>
    <t>Catégorie 1</t>
  </si>
  <si>
    <t>Catégorie 2</t>
  </si>
  <si>
    <t>Catégorie 3</t>
  </si>
  <si>
    <t>Catégorie 4</t>
  </si>
  <si>
    <t>Catégorie 5</t>
  </si>
  <si>
    <t>Catégorie 6</t>
  </si>
  <si>
    <t>Catégorie 7</t>
  </si>
  <si>
    <t>Catégorie 8</t>
  </si>
  <si>
    <t>Catégorie 9</t>
  </si>
  <si>
    <t>Catégorie 10</t>
  </si>
  <si>
    <t>Catégorie 11</t>
  </si>
  <si>
    <t>Catégorie 12</t>
  </si>
  <si>
    <t>Catégorie 13</t>
  </si>
  <si>
    <t>Catégorie 14</t>
  </si>
  <si>
    <t>Catégorie 15</t>
  </si>
  <si>
    <t>Catégorie 16</t>
  </si>
  <si>
    <t>Catégorie 17</t>
  </si>
  <si>
    <t>Catégorie 18</t>
  </si>
  <si>
    <t>Catégorie 19</t>
  </si>
  <si>
    <t>Catégorie 20</t>
  </si>
  <si>
    <t>Libellé de carte</t>
  </si>
  <si>
    <t>Catégorie pressentie</t>
  </si>
  <si>
    <t xml:space="preserve">Libellé 1 </t>
  </si>
  <si>
    <t>Libellé 2</t>
  </si>
  <si>
    <t>Libellé 3</t>
  </si>
  <si>
    <t>Libellé 4</t>
  </si>
  <si>
    <t>Libellé 5</t>
  </si>
  <si>
    <t>Libellé 6</t>
  </si>
  <si>
    <t>Libellé 7</t>
  </si>
  <si>
    <t>Libellé 8</t>
  </si>
  <si>
    <t>Libellé 9</t>
  </si>
  <si>
    <t>Libellé 10</t>
  </si>
  <si>
    <t>Libellé 11</t>
  </si>
  <si>
    <t>Libellé 12</t>
  </si>
  <si>
    <t>Libellé 13</t>
  </si>
  <si>
    <t>Libellé 14</t>
  </si>
  <si>
    <t>Libellé 15</t>
  </si>
  <si>
    <t>Libellé 16</t>
  </si>
  <si>
    <t>Libellé 17</t>
  </si>
  <si>
    <t>Libellé 18</t>
  </si>
  <si>
    <t>Libellé 19</t>
  </si>
  <si>
    <t>Libellé 20</t>
  </si>
  <si>
    <t>Libellé 21</t>
  </si>
  <si>
    <t>Libellé 22</t>
  </si>
  <si>
    <t>Libellé 23</t>
  </si>
  <si>
    <t>Libellé 24</t>
  </si>
  <si>
    <t>Libellé 25</t>
  </si>
  <si>
    <t>Libellé 26</t>
  </si>
  <si>
    <t>Libellé 27</t>
  </si>
  <si>
    <t>Libellé 28</t>
  </si>
  <si>
    <t>Libellé 29</t>
  </si>
  <si>
    <t>Libellé 30</t>
  </si>
  <si>
    <t>Libellé 31</t>
  </si>
  <si>
    <t>Libellé 32</t>
  </si>
  <si>
    <t>Libellé 33</t>
  </si>
  <si>
    <t>Libellé 34</t>
  </si>
  <si>
    <t>Libellé 35</t>
  </si>
  <si>
    <t>Libellé 36</t>
  </si>
  <si>
    <t>Libellé 37</t>
  </si>
  <si>
    <t>Libellé 38</t>
  </si>
  <si>
    <t>Libellé 39</t>
  </si>
  <si>
    <t>Libellé 40</t>
  </si>
  <si>
    <t>Libellé 41</t>
  </si>
  <si>
    <t>Libellé 42</t>
  </si>
  <si>
    <t>Libellé 43</t>
  </si>
  <si>
    <t>Libellé 44</t>
  </si>
  <si>
    <t>Libellé 45</t>
  </si>
  <si>
    <t>Libellé 46</t>
  </si>
  <si>
    <t>Libellé 47</t>
  </si>
  <si>
    <t>Libellé 48</t>
  </si>
  <si>
    <t>Libellé 49</t>
  </si>
  <si>
    <t>Libellé 50</t>
  </si>
  <si>
    <t>Libellé 51</t>
  </si>
  <si>
    <t>Libellé 52</t>
  </si>
  <si>
    <t>Libellé 53</t>
  </si>
  <si>
    <t>Libellé 54</t>
  </si>
  <si>
    <t>Libellé 55</t>
  </si>
  <si>
    <t>Libellé 56</t>
  </si>
  <si>
    <t>Libellé 57</t>
  </si>
  <si>
    <t>Libellé 58</t>
  </si>
  <si>
    <t>Libellé 59</t>
  </si>
  <si>
    <t>Libellé 60</t>
  </si>
  <si>
    <t>Libellé 61</t>
  </si>
  <si>
    <t>Libellé 62</t>
  </si>
  <si>
    <t>Libellé 63</t>
  </si>
  <si>
    <t>Libellé 64</t>
  </si>
  <si>
    <t>Libellé 65</t>
  </si>
  <si>
    <t>Libellé 66</t>
  </si>
  <si>
    <t>Libellé 67</t>
  </si>
  <si>
    <t>Libellé 68</t>
  </si>
  <si>
    <t>Libellé 69</t>
  </si>
  <si>
    <t>Libellé 70</t>
  </si>
  <si>
    <t>Libellé 71</t>
  </si>
  <si>
    <t>Libellé 72</t>
  </si>
  <si>
    <t>Libellé 73</t>
  </si>
  <si>
    <t>Libellé 74</t>
  </si>
  <si>
    <t>Libellé 75</t>
  </si>
  <si>
    <t>Libellé 76</t>
  </si>
  <si>
    <t>Libellé 77</t>
  </si>
  <si>
    <t>Libellé 78</t>
  </si>
  <si>
    <t>Libellé 79</t>
  </si>
  <si>
    <t>Libellé 80</t>
  </si>
  <si>
    <t>Libellé 81</t>
  </si>
  <si>
    <t>Libellé 82</t>
  </si>
  <si>
    <t>Libellé 83</t>
  </si>
  <si>
    <t>Libellé 84</t>
  </si>
  <si>
    <t>Libellé 85</t>
  </si>
  <si>
    <t>Libellé 86</t>
  </si>
  <si>
    <t>Libellé 87</t>
  </si>
  <si>
    <t>Libellé 88</t>
  </si>
  <si>
    <t>Libellé 89</t>
  </si>
  <si>
    <t>Libellé 90</t>
  </si>
  <si>
    <t>Libellé 91</t>
  </si>
  <si>
    <t>Libellé 92</t>
  </si>
  <si>
    <t>Libellé 93</t>
  </si>
  <si>
    <t>Libellé 94</t>
  </si>
  <si>
    <t>Libellé 95</t>
  </si>
  <si>
    <t>Libellé 96</t>
  </si>
  <si>
    <t>Libellé 97</t>
  </si>
  <si>
    <t>Libellé 98</t>
  </si>
  <si>
    <t>Libellé 99</t>
  </si>
  <si>
    <t>Libellé 100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</si>
  <si>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</si>
  <si>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</si>
  <si>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</si>
  <si>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</si>
  <si>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</si>
  <si>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</si>
  <si>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</si>
  <si>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</si>
  <si>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</si>
  <si>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</si>
  <si>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</si>
  <si>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</si>
  <si>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</si>
  <si>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</si>
  <si>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</si>
  <si>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</si>
  <si>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</si>
  <si>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</si>
  <si>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</si>
  <si>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</si>
  <si>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id carte</t>
  </si>
  <si>
    <t>id cat pressentie</t>
  </si>
  <si>
    <t>Fiabilité</t>
  </si>
  <si>
    <t>Consignes pour analyser les données d'un tri de carte fermé</t>
  </si>
  <si>
    <t>Consigne générale : modifier uniquement les cellules en jaune</t>
  </si>
  <si>
    <t>Feuille Catégories</t>
  </si>
  <si>
    <t>Feuille Cartes</t>
  </si>
  <si>
    <t>Feuille Réponses</t>
  </si>
  <si>
    <t>Feuille Analyse du classement</t>
  </si>
  <si>
    <t>pour chaque carte, la catégorie pressentie est indiquée en vert</t>
  </si>
  <si>
    <t>Feuille Fiabilité catégorie</t>
  </si>
  <si>
    <t>la fiabilité indique dans quelle mesure les cartes prévues pour cette catégorie y sont classées</t>
  </si>
  <si>
    <t>pour chaque carte, on peut détermine les catégories qui sont confusantes par rapport à la catégorie pressentie</t>
  </si>
  <si>
    <t>chaque ligne indique la fréquence de classement de la carte dans les différentes catégories</t>
  </si>
  <si>
    <t>indiquer les numéros au verso des cartes au crayon pour faciliter l'encodage</t>
  </si>
  <si>
    <t>Jouer le tri de cartes avec au moins 5 participants</t>
  </si>
  <si>
    <t>astuce : faire du publipostage pour créer un document Word avec les cartes en utilisant les documents au format d'étiquette</t>
  </si>
  <si>
    <t>encoder les libellés par ordre alphabétique pour que la numérotation ne définisse pas les catégories</t>
  </si>
  <si>
    <t>Adapter les libellés de catégories et/ou les libellés des cartes et recommencez jusqu'à ce que les indicateurs soient verts</t>
  </si>
  <si>
    <t>les id des cartes très mal classées sont surlignés en rouge (plus de 25% d'erreurs)</t>
  </si>
  <si>
    <t>les autres colonnes indiquent dans quelle mesure les cartes prévues dans la catégorie sont classées ailleurs</t>
  </si>
  <si>
    <t>encoder les libellés de catégories courts dans la zone jaune et laisser les cellules inutiles vides</t>
  </si>
  <si>
    <t>encoder les libellés de cartes et la catégorie associée pressentie dans la zone jaune et laisser les cellules inutiles vides</t>
  </si>
  <si>
    <t>encoder les réponses des participants dans la zone jaune et laissez les cellules inutiles vides</t>
  </si>
  <si>
    <t>Nb cartes pressenties par catégorie</t>
  </si>
  <si>
    <t>CC-BY-SA BY ZABELLEMOTTE</t>
  </si>
  <si>
    <t>Source : 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</si>
</sst>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9" fontId="0" fillId="0" borderId="1" xfId="0" applyNumberFormat="1" applyBorder="1"/>
    <xf numFmtId="9" fontId="1" fillId="0" borderId="1" xfId="0" applyNumberFormat="1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3" xfId="0" applyFont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5" xfId="0" applyBorder="1" applyAlignment="1">
      <alignment wrapText="1"/>
    </xf>
    <xf numFmtId="0" fontId="1" fillId="0" borderId="6" xfId="0" applyFont="1" applyBorder="1"/>
    <xf numFmtId="0" fontId="0" fillId="2" borderId="6" xfId="0" applyFill="1" applyBorder="1"/>
    <xf numFmtId="0" fontId="1" fillId="0" borderId="2" xfId="0" applyFont="1" applyFill="1" applyBorder="1"/>
  </cellXfs>
  <cellStyles count="1">
    <cellStyle name="Normal" xfId="0" builtinId="0"/>
  </cellStyles>
  <dxfs count="9"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C00000"/>
      </font>
    </dxf>
    <dxf>
      <font>
        <b/>
        <i val="0"/>
        <color rgb="FF996633"/>
      </font>
    </dxf>
    <dxf>
      <font>
        <b/>
        <i val="0"/>
        <color theme="9" tint="-0.24994659260841701"/>
      </font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CC"/>
      <color rgb="FFFFFFEB"/>
      <color rgb="FF996633"/>
      <color rgb="FFCCCC00"/>
      <color rgb="FF9A7C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063C-C34E-40DC-853B-1742C4A5947B}">
  <dimension ref="A1:A23"/>
  <sheetViews>
    <sheetView tabSelected="1" workbookViewId="0">
      <selection activeCell="I11" sqref="I11"/>
    </sheetView>
  </sheetViews>
  <sheetFormatPr baseColWidth="10" defaultRowHeight="15" x14ac:dyDescent="0.25"/>
  <cols>
    <col min="1" max="1" width="111.5703125" customWidth="1"/>
  </cols>
  <sheetData>
    <row r="1" spans="1:1" ht="26.25" x14ac:dyDescent="0.4">
      <c r="A1" s="10" t="s">
        <v>146</v>
      </c>
    </row>
    <row r="2" spans="1:1" ht="15.75" thickBot="1" x14ac:dyDescent="0.3">
      <c r="A2" s="11" t="s">
        <v>147</v>
      </c>
    </row>
    <row r="3" spans="1:1" x14ac:dyDescent="0.25">
      <c r="A3" s="7" t="s">
        <v>148</v>
      </c>
    </row>
    <row r="4" spans="1:1" ht="15.75" thickBot="1" x14ac:dyDescent="0.3">
      <c r="A4" s="9" t="s">
        <v>164</v>
      </c>
    </row>
    <row r="5" spans="1:1" x14ac:dyDescent="0.25">
      <c r="A5" s="7" t="s">
        <v>149</v>
      </c>
    </row>
    <row r="6" spans="1:1" ht="17.25" customHeight="1" x14ac:dyDescent="0.25">
      <c r="A6" s="15" t="s">
        <v>165</v>
      </c>
    </row>
    <row r="7" spans="1:1" x14ac:dyDescent="0.25">
      <c r="A7" s="9" t="s">
        <v>160</v>
      </c>
    </row>
    <row r="8" spans="1:1" x14ac:dyDescent="0.25">
      <c r="A8" s="9" t="s">
        <v>157</v>
      </c>
    </row>
    <row r="9" spans="1:1" ht="20.25" customHeight="1" thickBot="1" x14ac:dyDescent="0.3">
      <c r="A9" s="15" t="s">
        <v>159</v>
      </c>
    </row>
    <row r="10" spans="1:1" ht="15.75" thickBot="1" x14ac:dyDescent="0.3">
      <c r="A10" s="13" t="s">
        <v>158</v>
      </c>
    </row>
    <row r="11" spans="1:1" x14ac:dyDescent="0.25">
      <c r="A11" s="12" t="s">
        <v>150</v>
      </c>
    </row>
    <row r="12" spans="1:1" ht="15.75" thickBot="1" x14ac:dyDescent="0.3">
      <c r="A12" s="8" t="s">
        <v>166</v>
      </c>
    </row>
    <row r="13" spans="1:1" x14ac:dyDescent="0.25">
      <c r="A13" s="7" t="s">
        <v>151</v>
      </c>
    </row>
    <row r="14" spans="1:1" x14ac:dyDescent="0.25">
      <c r="A14" s="9" t="s">
        <v>156</v>
      </c>
    </row>
    <row r="15" spans="1:1" x14ac:dyDescent="0.25">
      <c r="A15" s="9" t="s">
        <v>162</v>
      </c>
    </row>
    <row r="16" spans="1:1" x14ac:dyDescent="0.25">
      <c r="A16" s="9" t="s">
        <v>152</v>
      </c>
    </row>
    <row r="17" spans="1:1" ht="15.75" thickBot="1" x14ac:dyDescent="0.3">
      <c r="A17" s="8" t="s">
        <v>155</v>
      </c>
    </row>
    <row r="18" spans="1:1" x14ac:dyDescent="0.25">
      <c r="A18" s="12" t="s">
        <v>153</v>
      </c>
    </row>
    <row r="19" spans="1:1" x14ac:dyDescent="0.25">
      <c r="A19" s="9" t="s">
        <v>154</v>
      </c>
    </row>
    <row r="20" spans="1:1" ht="15.75" thickBot="1" x14ac:dyDescent="0.3">
      <c r="A20" s="8" t="s">
        <v>163</v>
      </c>
    </row>
    <row r="21" spans="1:1" ht="30.75" thickBot="1" x14ac:dyDescent="0.3">
      <c r="A21" s="14" t="s">
        <v>161</v>
      </c>
    </row>
    <row r="22" spans="1:1" ht="15.75" thickBot="1" x14ac:dyDescent="0.3">
      <c r="A22" s="18" t="s">
        <v>168</v>
      </c>
    </row>
    <row r="23" spans="1:1" x14ac:dyDescent="0.25">
      <c r="A23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4953-ED6B-4445-B8EB-964C6535A1DC}">
  <dimension ref="A1:C21"/>
  <sheetViews>
    <sheetView workbookViewId="0">
      <selection activeCell="E9" sqref="E9"/>
    </sheetView>
  </sheetViews>
  <sheetFormatPr baseColWidth="10" defaultRowHeight="15" x14ac:dyDescent="0.25"/>
  <cols>
    <col min="2" max="2" width="33.42578125" customWidth="1"/>
    <col min="3" max="3" width="39.140625" customWidth="1"/>
  </cols>
  <sheetData>
    <row r="1" spans="1:3" x14ac:dyDescent="0.25">
      <c r="A1" s="1"/>
      <c r="B1" s="16" t="s">
        <v>0</v>
      </c>
      <c r="C1" s="2" t="s">
        <v>167</v>
      </c>
    </row>
    <row r="2" spans="1:3" x14ac:dyDescent="0.25">
      <c r="A2" s="1">
        <v>1</v>
      </c>
      <c r="B2" s="17" t="s">
        <v>1</v>
      </c>
      <c r="C2" s="1">
        <f>COUNTIF(Cartes!$C$2:$C$101,"="&amp;A2)</f>
        <v>6</v>
      </c>
    </row>
    <row r="3" spans="1:3" x14ac:dyDescent="0.25">
      <c r="A3" s="1">
        <v>2</v>
      </c>
      <c r="B3" s="17" t="s">
        <v>2</v>
      </c>
      <c r="C3" s="1">
        <f>COUNTIF(Cartes!$C$2:$C$101,"="&amp;A3)</f>
        <v>5</v>
      </c>
    </row>
    <row r="4" spans="1:3" x14ac:dyDescent="0.25">
      <c r="A4" s="1">
        <v>3</v>
      </c>
      <c r="B4" s="17" t="s">
        <v>3</v>
      </c>
      <c r="C4" s="1">
        <f>COUNTIF(Cartes!$C$2:$C$101,"="&amp;A4)</f>
        <v>5</v>
      </c>
    </row>
    <row r="5" spans="1:3" x14ac:dyDescent="0.25">
      <c r="A5" s="1">
        <v>4</v>
      </c>
      <c r="B5" s="17" t="s">
        <v>4</v>
      </c>
      <c r="C5" s="1">
        <f>COUNTIF(Cartes!$C$2:$C$101,"="&amp;A5)</f>
        <v>4</v>
      </c>
    </row>
    <row r="6" spans="1:3" x14ac:dyDescent="0.25">
      <c r="A6" s="1">
        <v>5</v>
      </c>
      <c r="B6" s="17" t="s">
        <v>5</v>
      </c>
      <c r="C6" s="1">
        <f>COUNTIF(Cartes!$C$2:$C$101,"="&amp;A6)</f>
        <v>3</v>
      </c>
    </row>
    <row r="7" spans="1:3" x14ac:dyDescent="0.25">
      <c r="A7" s="1">
        <v>6</v>
      </c>
      <c r="B7" s="17" t="s">
        <v>6</v>
      </c>
      <c r="C7" s="1">
        <f>COUNTIF(Cartes!$C$2:$C$101,"="&amp;A7)</f>
        <v>2</v>
      </c>
    </row>
    <row r="8" spans="1:3" x14ac:dyDescent="0.25">
      <c r="A8" s="1">
        <v>7</v>
      </c>
      <c r="B8" s="17" t="s">
        <v>7</v>
      </c>
      <c r="C8" s="1">
        <f>COUNTIF(Cartes!$C$2:$C$101,"="&amp;A8)</f>
        <v>4</v>
      </c>
    </row>
    <row r="9" spans="1:3" x14ac:dyDescent="0.25">
      <c r="A9" s="1">
        <v>8</v>
      </c>
      <c r="B9" s="17" t="s">
        <v>8</v>
      </c>
      <c r="C9" s="1">
        <f>COUNTIF(Cartes!$C$2:$C$101,"="&amp;A9)</f>
        <v>7</v>
      </c>
    </row>
    <row r="10" spans="1:3" x14ac:dyDescent="0.25">
      <c r="A10" s="1">
        <v>9</v>
      </c>
      <c r="B10" s="17" t="s">
        <v>9</v>
      </c>
      <c r="C10" s="1">
        <f>COUNTIF(Cartes!$C$2:$C$101,"="&amp;A10)</f>
        <v>4</v>
      </c>
    </row>
    <row r="11" spans="1:3" x14ac:dyDescent="0.25">
      <c r="A11" s="1">
        <v>10</v>
      </c>
      <c r="B11" s="17" t="s">
        <v>10</v>
      </c>
      <c r="C11" s="1">
        <f>COUNTIF(Cartes!$C$2:$C$101,"="&amp;A11)</f>
        <v>5</v>
      </c>
    </row>
    <row r="12" spans="1:3" x14ac:dyDescent="0.25">
      <c r="A12" s="1">
        <v>11</v>
      </c>
      <c r="B12" s="17" t="s">
        <v>11</v>
      </c>
      <c r="C12" s="1">
        <f>COUNTIF(Cartes!$C$2:$C$101,"="&amp;A12)</f>
        <v>3</v>
      </c>
    </row>
    <row r="13" spans="1:3" x14ac:dyDescent="0.25">
      <c r="A13" s="1">
        <v>12</v>
      </c>
      <c r="B13" s="17" t="s">
        <v>12</v>
      </c>
      <c r="C13" s="1">
        <f>COUNTIF(Cartes!$C$2:$C$101,"="&amp;A13)</f>
        <v>2</v>
      </c>
    </row>
    <row r="14" spans="1:3" x14ac:dyDescent="0.25">
      <c r="A14" s="1">
        <v>13</v>
      </c>
      <c r="B14" s="17" t="s">
        <v>13</v>
      </c>
      <c r="C14" s="1">
        <f>COUNTIF(Cartes!$C$2:$C$101,"="&amp;A14)</f>
        <v>5</v>
      </c>
    </row>
    <row r="15" spans="1:3" x14ac:dyDescent="0.25">
      <c r="A15" s="1">
        <v>14</v>
      </c>
      <c r="B15" s="17" t="s">
        <v>14</v>
      </c>
      <c r="C15" s="1">
        <f>COUNTIF(Cartes!$C$2:$C$101,"="&amp;A15)</f>
        <v>7</v>
      </c>
    </row>
    <row r="16" spans="1:3" x14ac:dyDescent="0.25">
      <c r="A16" s="1">
        <v>15</v>
      </c>
      <c r="B16" s="17" t="s">
        <v>15</v>
      </c>
      <c r="C16" s="1">
        <f>COUNTIF(Cartes!$C$2:$C$101,"="&amp;A16)</f>
        <v>6</v>
      </c>
    </row>
    <row r="17" spans="1:3" x14ac:dyDescent="0.25">
      <c r="A17" s="1">
        <v>16</v>
      </c>
      <c r="B17" s="17" t="s">
        <v>16</v>
      </c>
      <c r="C17" s="1">
        <f>COUNTIF(Cartes!$C$2:$C$101,"="&amp;A17)</f>
        <v>2</v>
      </c>
    </row>
    <row r="18" spans="1:3" x14ac:dyDescent="0.25">
      <c r="A18" s="1">
        <v>17</v>
      </c>
      <c r="B18" s="17" t="s">
        <v>17</v>
      </c>
      <c r="C18" s="1">
        <f>COUNTIF(Cartes!$C$2:$C$101,"="&amp;A18)</f>
        <v>10</v>
      </c>
    </row>
    <row r="19" spans="1:3" x14ac:dyDescent="0.25">
      <c r="A19" s="1">
        <v>18</v>
      </c>
      <c r="B19" s="17" t="s">
        <v>18</v>
      </c>
      <c r="C19" s="1">
        <f>COUNTIF(Cartes!$C$2:$C$101,"="&amp;A19)</f>
        <v>8</v>
      </c>
    </row>
    <row r="20" spans="1:3" x14ac:dyDescent="0.25">
      <c r="A20" s="1">
        <v>19</v>
      </c>
      <c r="B20" s="17" t="s">
        <v>19</v>
      </c>
      <c r="C20" s="1">
        <f>COUNTIF(Cartes!$C$2:$C$101,"="&amp;A20)</f>
        <v>8</v>
      </c>
    </row>
    <row r="21" spans="1:3" x14ac:dyDescent="0.25">
      <c r="A21" s="1">
        <v>20</v>
      </c>
      <c r="B21" s="17" t="s">
        <v>20</v>
      </c>
      <c r="C21" s="1">
        <f>COUNTIF(Cartes!$C$2:$C$101,"="&amp;A21)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7036-4574-4801-8C02-E311C9337E1A}">
  <dimension ref="A1:C101"/>
  <sheetViews>
    <sheetView workbookViewId="0">
      <selection activeCell="B101" sqref="A1:B101"/>
    </sheetView>
  </sheetViews>
  <sheetFormatPr baseColWidth="10" defaultRowHeight="15" x14ac:dyDescent="0.25"/>
  <cols>
    <col min="2" max="2" width="40.42578125" customWidth="1"/>
    <col min="3" max="3" width="24.28515625" customWidth="1"/>
  </cols>
  <sheetData>
    <row r="1" spans="1:3" x14ac:dyDescent="0.25">
      <c r="A1" s="1"/>
      <c r="B1" s="2" t="s">
        <v>21</v>
      </c>
      <c r="C1" s="2" t="s">
        <v>22</v>
      </c>
    </row>
    <row r="2" spans="1:3" x14ac:dyDescent="0.25">
      <c r="A2" s="1">
        <v>1</v>
      </c>
      <c r="B2" s="4" t="s">
        <v>23</v>
      </c>
      <c r="C2" s="4">
        <v>14</v>
      </c>
    </row>
    <row r="3" spans="1:3" x14ac:dyDescent="0.25">
      <c r="A3" s="1">
        <v>2</v>
      </c>
      <c r="B3" s="4" t="s">
        <v>24</v>
      </c>
      <c r="C3" s="4">
        <v>8</v>
      </c>
    </row>
    <row r="4" spans="1:3" x14ac:dyDescent="0.25">
      <c r="A4" s="1">
        <v>3</v>
      </c>
      <c r="B4" s="4" t="s">
        <v>25</v>
      </c>
      <c r="C4" s="4">
        <v>19</v>
      </c>
    </row>
    <row r="5" spans="1:3" x14ac:dyDescent="0.25">
      <c r="A5" s="1">
        <v>4</v>
      </c>
      <c r="B5" s="4" t="s">
        <v>26</v>
      </c>
      <c r="C5" s="4">
        <v>18</v>
      </c>
    </row>
    <row r="6" spans="1:3" x14ac:dyDescent="0.25">
      <c r="A6" s="1">
        <v>5</v>
      </c>
      <c r="B6" s="4" t="s">
        <v>27</v>
      </c>
      <c r="C6" s="4">
        <v>9</v>
      </c>
    </row>
    <row r="7" spans="1:3" x14ac:dyDescent="0.25">
      <c r="A7" s="1">
        <v>6</v>
      </c>
      <c r="B7" s="4" t="s">
        <v>28</v>
      </c>
      <c r="C7" s="4">
        <v>1</v>
      </c>
    </row>
    <row r="8" spans="1:3" x14ac:dyDescent="0.25">
      <c r="A8" s="1">
        <v>7</v>
      </c>
      <c r="B8" s="4" t="s">
        <v>29</v>
      </c>
      <c r="C8" s="4">
        <v>15</v>
      </c>
    </row>
    <row r="9" spans="1:3" x14ac:dyDescent="0.25">
      <c r="A9" s="1">
        <v>8</v>
      </c>
      <c r="B9" s="4" t="s">
        <v>30</v>
      </c>
      <c r="C9" s="4">
        <v>2</v>
      </c>
    </row>
    <row r="10" spans="1:3" x14ac:dyDescent="0.25">
      <c r="A10" s="1">
        <v>9</v>
      </c>
      <c r="B10" s="4" t="s">
        <v>31</v>
      </c>
      <c r="C10" s="4">
        <v>7</v>
      </c>
    </row>
    <row r="11" spans="1:3" x14ac:dyDescent="0.25">
      <c r="A11" s="1">
        <v>10</v>
      </c>
      <c r="B11" s="4" t="s">
        <v>32</v>
      </c>
      <c r="C11" s="4">
        <v>18</v>
      </c>
    </row>
    <row r="12" spans="1:3" x14ac:dyDescent="0.25">
      <c r="A12" s="1">
        <v>11</v>
      </c>
      <c r="B12" s="4" t="s">
        <v>33</v>
      </c>
      <c r="C12" s="4">
        <v>2</v>
      </c>
    </row>
    <row r="13" spans="1:3" x14ac:dyDescent="0.25">
      <c r="A13" s="1">
        <v>12</v>
      </c>
      <c r="B13" s="4" t="s">
        <v>34</v>
      </c>
      <c r="C13" s="4">
        <v>1</v>
      </c>
    </row>
    <row r="14" spans="1:3" x14ac:dyDescent="0.25">
      <c r="A14" s="1">
        <v>13</v>
      </c>
      <c r="B14" s="4" t="s">
        <v>35</v>
      </c>
      <c r="C14" s="4">
        <v>19</v>
      </c>
    </row>
    <row r="15" spans="1:3" x14ac:dyDescent="0.25">
      <c r="A15" s="1">
        <v>14</v>
      </c>
      <c r="B15" s="4" t="s">
        <v>36</v>
      </c>
      <c r="C15" s="4">
        <v>17</v>
      </c>
    </row>
    <row r="16" spans="1:3" x14ac:dyDescent="0.25">
      <c r="A16" s="1">
        <v>15</v>
      </c>
      <c r="B16" s="4" t="s">
        <v>37</v>
      </c>
      <c r="C16" s="4">
        <v>11</v>
      </c>
    </row>
    <row r="17" spans="1:3" x14ac:dyDescent="0.25">
      <c r="A17" s="1">
        <v>16</v>
      </c>
      <c r="B17" s="4" t="s">
        <v>38</v>
      </c>
      <c r="C17" s="4">
        <v>20</v>
      </c>
    </row>
    <row r="18" spans="1:3" x14ac:dyDescent="0.25">
      <c r="A18" s="1">
        <v>17</v>
      </c>
      <c r="B18" s="4" t="s">
        <v>39</v>
      </c>
      <c r="C18" s="4">
        <v>8</v>
      </c>
    </row>
    <row r="19" spans="1:3" x14ac:dyDescent="0.25">
      <c r="A19" s="1">
        <v>18</v>
      </c>
      <c r="B19" s="4" t="s">
        <v>40</v>
      </c>
      <c r="C19" s="4">
        <v>14</v>
      </c>
    </row>
    <row r="20" spans="1:3" x14ac:dyDescent="0.25">
      <c r="A20" s="1">
        <v>19</v>
      </c>
      <c r="B20" s="4" t="s">
        <v>41</v>
      </c>
      <c r="C20" s="4">
        <v>5</v>
      </c>
    </row>
    <row r="21" spans="1:3" x14ac:dyDescent="0.25">
      <c r="A21" s="1">
        <v>20</v>
      </c>
      <c r="B21" s="4" t="s">
        <v>42</v>
      </c>
      <c r="C21" s="4">
        <v>13</v>
      </c>
    </row>
    <row r="22" spans="1:3" x14ac:dyDescent="0.25">
      <c r="A22" s="1">
        <v>21</v>
      </c>
      <c r="B22" s="4" t="s">
        <v>43</v>
      </c>
      <c r="C22" s="4">
        <v>4</v>
      </c>
    </row>
    <row r="23" spans="1:3" x14ac:dyDescent="0.25">
      <c r="A23" s="1">
        <v>22</v>
      </c>
      <c r="B23" s="4" t="s">
        <v>44</v>
      </c>
      <c r="C23" s="4">
        <v>18</v>
      </c>
    </row>
    <row r="24" spans="1:3" x14ac:dyDescent="0.25">
      <c r="A24" s="1">
        <v>23</v>
      </c>
      <c r="B24" s="4" t="s">
        <v>45</v>
      </c>
      <c r="C24" s="4">
        <v>5</v>
      </c>
    </row>
    <row r="25" spans="1:3" x14ac:dyDescent="0.25">
      <c r="A25" s="1">
        <v>24</v>
      </c>
      <c r="B25" s="4" t="s">
        <v>46</v>
      </c>
      <c r="C25" s="4">
        <v>1</v>
      </c>
    </row>
    <row r="26" spans="1:3" x14ac:dyDescent="0.25">
      <c r="A26" s="1">
        <v>25</v>
      </c>
      <c r="B26" s="4" t="s">
        <v>47</v>
      </c>
      <c r="C26" s="4">
        <v>14</v>
      </c>
    </row>
    <row r="27" spans="1:3" x14ac:dyDescent="0.25">
      <c r="A27" s="1">
        <v>26</v>
      </c>
      <c r="B27" s="4" t="s">
        <v>48</v>
      </c>
      <c r="C27" s="4">
        <v>17</v>
      </c>
    </row>
    <row r="28" spans="1:3" x14ac:dyDescent="0.25">
      <c r="A28" s="1">
        <v>27</v>
      </c>
      <c r="B28" s="4" t="s">
        <v>49</v>
      </c>
      <c r="C28" s="4">
        <v>4</v>
      </c>
    </row>
    <row r="29" spans="1:3" x14ac:dyDescent="0.25">
      <c r="A29" s="1">
        <v>28</v>
      </c>
      <c r="B29" s="4" t="s">
        <v>50</v>
      </c>
      <c r="C29" s="4">
        <v>6</v>
      </c>
    </row>
    <row r="30" spans="1:3" x14ac:dyDescent="0.25">
      <c r="A30" s="1">
        <v>29</v>
      </c>
      <c r="B30" s="4" t="s">
        <v>51</v>
      </c>
      <c r="C30" s="4">
        <v>7</v>
      </c>
    </row>
    <row r="31" spans="1:3" x14ac:dyDescent="0.25">
      <c r="A31" s="1">
        <v>30</v>
      </c>
      <c r="B31" s="4" t="s">
        <v>52</v>
      </c>
      <c r="C31" s="4">
        <v>14</v>
      </c>
    </row>
    <row r="32" spans="1:3" x14ac:dyDescent="0.25">
      <c r="A32" s="1">
        <v>31</v>
      </c>
      <c r="B32" s="4" t="s">
        <v>53</v>
      </c>
      <c r="C32" s="4">
        <v>3</v>
      </c>
    </row>
    <row r="33" spans="1:3" x14ac:dyDescent="0.25">
      <c r="A33" s="1">
        <v>32</v>
      </c>
      <c r="B33" s="4" t="s">
        <v>54</v>
      </c>
      <c r="C33" s="4">
        <v>17</v>
      </c>
    </row>
    <row r="34" spans="1:3" x14ac:dyDescent="0.25">
      <c r="A34" s="1">
        <v>33</v>
      </c>
      <c r="B34" s="4" t="s">
        <v>55</v>
      </c>
      <c r="C34" s="4">
        <v>1</v>
      </c>
    </row>
    <row r="35" spans="1:3" x14ac:dyDescent="0.25">
      <c r="A35" s="1">
        <v>34</v>
      </c>
      <c r="B35" s="4" t="s">
        <v>56</v>
      </c>
      <c r="C35" s="4">
        <v>8</v>
      </c>
    </row>
    <row r="36" spans="1:3" x14ac:dyDescent="0.25">
      <c r="A36" s="1">
        <v>35</v>
      </c>
      <c r="B36" s="4" t="s">
        <v>57</v>
      </c>
      <c r="C36" s="4">
        <v>19</v>
      </c>
    </row>
    <row r="37" spans="1:3" x14ac:dyDescent="0.25">
      <c r="A37" s="1">
        <v>36</v>
      </c>
      <c r="B37" s="4" t="s">
        <v>58</v>
      </c>
      <c r="C37" s="4">
        <v>10</v>
      </c>
    </row>
    <row r="38" spans="1:3" x14ac:dyDescent="0.25">
      <c r="A38" s="1">
        <v>37</v>
      </c>
      <c r="B38" s="4" t="s">
        <v>59</v>
      </c>
      <c r="C38" s="4">
        <v>6</v>
      </c>
    </row>
    <row r="39" spans="1:3" x14ac:dyDescent="0.25">
      <c r="A39" s="1">
        <v>38</v>
      </c>
      <c r="B39" s="4" t="s">
        <v>60</v>
      </c>
      <c r="C39" s="4">
        <v>14</v>
      </c>
    </row>
    <row r="40" spans="1:3" x14ac:dyDescent="0.25">
      <c r="A40" s="1">
        <v>39</v>
      </c>
      <c r="B40" s="4" t="s">
        <v>61</v>
      </c>
      <c r="C40" s="4">
        <v>4</v>
      </c>
    </row>
    <row r="41" spans="1:3" x14ac:dyDescent="0.25">
      <c r="A41" s="1">
        <v>40</v>
      </c>
      <c r="B41" s="4" t="s">
        <v>62</v>
      </c>
      <c r="C41" s="4">
        <v>3</v>
      </c>
    </row>
    <row r="42" spans="1:3" x14ac:dyDescent="0.25">
      <c r="A42" s="1">
        <v>41</v>
      </c>
      <c r="B42" s="4" t="s">
        <v>63</v>
      </c>
      <c r="C42" s="4">
        <v>10</v>
      </c>
    </row>
    <row r="43" spans="1:3" x14ac:dyDescent="0.25">
      <c r="A43" s="1">
        <v>42</v>
      </c>
      <c r="B43" s="4" t="s">
        <v>64</v>
      </c>
      <c r="C43" s="4">
        <v>9</v>
      </c>
    </row>
    <row r="44" spans="1:3" x14ac:dyDescent="0.25">
      <c r="A44" s="1">
        <v>43</v>
      </c>
      <c r="B44" s="4" t="s">
        <v>65</v>
      </c>
      <c r="C44" s="4">
        <v>10</v>
      </c>
    </row>
    <row r="45" spans="1:3" x14ac:dyDescent="0.25">
      <c r="A45" s="1">
        <v>44</v>
      </c>
      <c r="B45" s="4" t="s">
        <v>66</v>
      </c>
      <c r="C45" s="4">
        <v>2</v>
      </c>
    </row>
    <row r="46" spans="1:3" x14ac:dyDescent="0.25">
      <c r="A46" s="1">
        <v>45</v>
      </c>
      <c r="B46" s="4" t="s">
        <v>67</v>
      </c>
      <c r="C46" s="4">
        <v>8</v>
      </c>
    </row>
    <row r="47" spans="1:3" x14ac:dyDescent="0.25">
      <c r="A47" s="1">
        <v>46</v>
      </c>
      <c r="B47" s="4" t="s">
        <v>68</v>
      </c>
      <c r="C47" s="4">
        <v>4</v>
      </c>
    </row>
    <row r="48" spans="1:3" x14ac:dyDescent="0.25">
      <c r="A48" s="1">
        <v>47</v>
      </c>
      <c r="B48" s="4" t="s">
        <v>69</v>
      </c>
      <c r="C48" s="4">
        <v>17</v>
      </c>
    </row>
    <row r="49" spans="1:3" x14ac:dyDescent="0.25">
      <c r="A49" s="1">
        <v>48</v>
      </c>
      <c r="B49" s="4" t="s">
        <v>70</v>
      </c>
      <c r="C49" s="4">
        <v>11</v>
      </c>
    </row>
    <row r="50" spans="1:3" x14ac:dyDescent="0.25">
      <c r="A50" s="1">
        <v>49</v>
      </c>
      <c r="B50" s="4" t="s">
        <v>71</v>
      </c>
      <c r="C50" s="4">
        <v>5</v>
      </c>
    </row>
    <row r="51" spans="1:3" x14ac:dyDescent="0.25">
      <c r="A51" s="1">
        <v>50</v>
      </c>
      <c r="B51" s="4" t="s">
        <v>72</v>
      </c>
      <c r="C51" s="4">
        <v>9</v>
      </c>
    </row>
    <row r="52" spans="1:3" x14ac:dyDescent="0.25">
      <c r="A52" s="1">
        <v>51</v>
      </c>
      <c r="B52" s="4" t="s">
        <v>73</v>
      </c>
      <c r="C52" s="4">
        <v>3</v>
      </c>
    </row>
    <row r="53" spans="1:3" x14ac:dyDescent="0.25">
      <c r="A53" s="1">
        <v>52</v>
      </c>
      <c r="B53" s="4" t="s">
        <v>74</v>
      </c>
      <c r="C53" s="4">
        <v>19</v>
      </c>
    </row>
    <row r="54" spans="1:3" x14ac:dyDescent="0.25">
      <c r="A54" s="1">
        <v>53</v>
      </c>
      <c r="B54" s="4" t="s">
        <v>75</v>
      </c>
      <c r="C54" s="4">
        <v>13</v>
      </c>
    </row>
    <row r="55" spans="1:3" x14ac:dyDescent="0.25">
      <c r="A55" s="1">
        <v>54</v>
      </c>
      <c r="B55" s="4" t="s">
        <v>76</v>
      </c>
      <c r="C55" s="4">
        <v>17</v>
      </c>
    </row>
    <row r="56" spans="1:3" x14ac:dyDescent="0.25">
      <c r="A56" s="1">
        <v>55</v>
      </c>
      <c r="B56" s="4" t="s">
        <v>77</v>
      </c>
      <c r="C56" s="4">
        <v>15</v>
      </c>
    </row>
    <row r="57" spans="1:3" x14ac:dyDescent="0.25">
      <c r="A57" s="1">
        <v>56</v>
      </c>
      <c r="B57" s="4" t="s">
        <v>78</v>
      </c>
      <c r="C57" s="4">
        <v>18</v>
      </c>
    </row>
    <row r="58" spans="1:3" x14ac:dyDescent="0.25">
      <c r="A58" s="1">
        <v>57</v>
      </c>
      <c r="B58" s="4" t="s">
        <v>79</v>
      </c>
      <c r="C58" s="4">
        <v>13</v>
      </c>
    </row>
    <row r="59" spans="1:3" x14ac:dyDescent="0.25">
      <c r="A59" s="1">
        <v>58</v>
      </c>
      <c r="B59" s="4" t="s">
        <v>80</v>
      </c>
      <c r="C59" s="4">
        <v>13</v>
      </c>
    </row>
    <row r="60" spans="1:3" x14ac:dyDescent="0.25">
      <c r="A60" s="1">
        <v>59</v>
      </c>
      <c r="B60" s="4" t="s">
        <v>81</v>
      </c>
      <c r="C60" s="4">
        <v>15</v>
      </c>
    </row>
    <row r="61" spans="1:3" x14ac:dyDescent="0.25">
      <c r="A61" s="1">
        <v>60</v>
      </c>
      <c r="B61" s="4" t="s">
        <v>82</v>
      </c>
      <c r="C61" s="4">
        <v>14</v>
      </c>
    </row>
    <row r="62" spans="1:3" x14ac:dyDescent="0.25">
      <c r="A62" s="1">
        <v>61</v>
      </c>
      <c r="B62" s="4" t="s">
        <v>83</v>
      </c>
      <c r="C62" s="4">
        <v>7</v>
      </c>
    </row>
    <row r="63" spans="1:3" x14ac:dyDescent="0.25">
      <c r="A63" s="1">
        <v>62</v>
      </c>
      <c r="B63" s="4" t="s">
        <v>84</v>
      </c>
      <c r="C63" s="4">
        <v>13</v>
      </c>
    </row>
    <row r="64" spans="1:3" x14ac:dyDescent="0.25">
      <c r="A64" s="1">
        <v>63</v>
      </c>
      <c r="B64" s="4" t="s">
        <v>85</v>
      </c>
      <c r="C64" s="4">
        <v>19</v>
      </c>
    </row>
    <row r="65" spans="1:3" x14ac:dyDescent="0.25">
      <c r="A65" s="1">
        <v>64</v>
      </c>
      <c r="B65" s="4" t="s">
        <v>86</v>
      </c>
      <c r="C65" s="4">
        <v>17</v>
      </c>
    </row>
    <row r="66" spans="1:3" x14ac:dyDescent="0.25">
      <c r="A66" s="1">
        <v>65</v>
      </c>
      <c r="B66" s="4" t="s">
        <v>87</v>
      </c>
      <c r="C66" s="4">
        <v>20</v>
      </c>
    </row>
    <row r="67" spans="1:3" x14ac:dyDescent="0.25">
      <c r="A67" s="1">
        <v>66</v>
      </c>
      <c r="B67" s="4" t="s">
        <v>88</v>
      </c>
      <c r="C67" s="4">
        <v>16</v>
      </c>
    </row>
    <row r="68" spans="1:3" x14ac:dyDescent="0.25">
      <c r="A68" s="1">
        <v>67</v>
      </c>
      <c r="B68" s="4" t="s">
        <v>89</v>
      </c>
      <c r="C68" s="4">
        <v>1</v>
      </c>
    </row>
    <row r="69" spans="1:3" x14ac:dyDescent="0.25">
      <c r="A69" s="1">
        <v>68</v>
      </c>
      <c r="B69" s="4" t="s">
        <v>90</v>
      </c>
      <c r="C69" s="4">
        <v>19</v>
      </c>
    </row>
    <row r="70" spans="1:3" x14ac:dyDescent="0.25">
      <c r="A70" s="1">
        <v>69</v>
      </c>
      <c r="B70" s="4" t="s">
        <v>91</v>
      </c>
      <c r="C70" s="4">
        <v>14</v>
      </c>
    </row>
    <row r="71" spans="1:3" x14ac:dyDescent="0.25">
      <c r="A71" s="1">
        <v>70</v>
      </c>
      <c r="B71" s="4" t="s">
        <v>92</v>
      </c>
      <c r="C71" s="4">
        <v>2</v>
      </c>
    </row>
    <row r="72" spans="1:3" x14ac:dyDescent="0.25">
      <c r="A72" s="1">
        <v>71</v>
      </c>
      <c r="B72" s="4" t="s">
        <v>93</v>
      </c>
      <c r="C72" s="4">
        <v>2</v>
      </c>
    </row>
    <row r="73" spans="1:3" x14ac:dyDescent="0.25">
      <c r="A73" s="1">
        <v>72</v>
      </c>
      <c r="B73" s="4" t="s">
        <v>94</v>
      </c>
      <c r="C73" s="4">
        <v>3</v>
      </c>
    </row>
    <row r="74" spans="1:3" x14ac:dyDescent="0.25">
      <c r="A74" s="1">
        <v>73</v>
      </c>
      <c r="B74" s="4" t="s">
        <v>95</v>
      </c>
      <c r="C74" s="4">
        <v>12</v>
      </c>
    </row>
    <row r="75" spans="1:3" x14ac:dyDescent="0.25">
      <c r="A75" s="1">
        <v>74</v>
      </c>
      <c r="B75" s="4" t="s">
        <v>96</v>
      </c>
      <c r="C75" s="4">
        <v>10</v>
      </c>
    </row>
    <row r="76" spans="1:3" x14ac:dyDescent="0.25">
      <c r="A76" s="1">
        <v>75</v>
      </c>
      <c r="B76" s="4" t="s">
        <v>97</v>
      </c>
      <c r="C76" s="4">
        <v>19</v>
      </c>
    </row>
    <row r="77" spans="1:3" x14ac:dyDescent="0.25">
      <c r="A77" s="1">
        <v>76</v>
      </c>
      <c r="B77" s="4" t="s">
        <v>98</v>
      </c>
      <c r="C77" s="4">
        <v>12</v>
      </c>
    </row>
    <row r="78" spans="1:3" x14ac:dyDescent="0.25">
      <c r="A78" s="1">
        <v>77</v>
      </c>
      <c r="B78" s="4" t="s">
        <v>99</v>
      </c>
      <c r="C78" s="4">
        <v>8</v>
      </c>
    </row>
    <row r="79" spans="1:3" x14ac:dyDescent="0.25">
      <c r="A79" s="1">
        <v>78</v>
      </c>
      <c r="B79" s="4" t="s">
        <v>100</v>
      </c>
      <c r="C79" s="4">
        <v>8</v>
      </c>
    </row>
    <row r="80" spans="1:3" x14ac:dyDescent="0.25">
      <c r="A80" s="1">
        <v>79</v>
      </c>
      <c r="B80" s="4" t="s">
        <v>101</v>
      </c>
      <c r="C80" s="4">
        <v>15</v>
      </c>
    </row>
    <row r="81" spans="1:3" x14ac:dyDescent="0.25">
      <c r="A81" s="1">
        <v>80</v>
      </c>
      <c r="B81" s="4" t="s">
        <v>102</v>
      </c>
      <c r="C81" s="4">
        <v>18</v>
      </c>
    </row>
    <row r="82" spans="1:3" x14ac:dyDescent="0.25">
      <c r="A82" s="1">
        <v>81</v>
      </c>
      <c r="B82" s="4" t="s">
        <v>103</v>
      </c>
      <c r="C82" s="4">
        <v>20</v>
      </c>
    </row>
    <row r="83" spans="1:3" x14ac:dyDescent="0.25">
      <c r="A83" s="1">
        <v>82</v>
      </c>
      <c r="B83" s="4" t="s">
        <v>104</v>
      </c>
      <c r="C83" s="4">
        <v>8</v>
      </c>
    </row>
    <row r="84" spans="1:3" x14ac:dyDescent="0.25">
      <c r="A84" s="1">
        <v>83</v>
      </c>
      <c r="B84" s="4" t="s">
        <v>105</v>
      </c>
      <c r="C84" s="4">
        <v>17</v>
      </c>
    </row>
    <row r="85" spans="1:3" x14ac:dyDescent="0.25">
      <c r="A85" s="1">
        <v>84</v>
      </c>
      <c r="B85" s="4" t="s">
        <v>106</v>
      </c>
      <c r="C85" s="4">
        <v>15</v>
      </c>
    </row>
    <row r="86" spans="1:3" x14ac:dyDescent="0.25">
      <c r="A86" s="1">
        <v>85</v>
      </c>
      <c r="B86" s="4" t="s">
        <v>107</v>
      </c>
      <c r="C86" s="4">
        <v>18</v>
      </c>
    </row>
    <row r="87" spans="1:3" x14ac:dyDescent="0.25">
      <c r="A87" s="1">
        <v>86</v>
      </c>
      <c r="B87" s="4" t="s">
        <v>108</v>
      </c>
      <c r="C87" s="4">
        <v>17</v>
      </c>
    </row>
    <row r="88" spans="1:3" x14ac:dyDescent="0.25">
      <c r="A88" s="1">
        <v>87</v>
      </c>
      <c r="B88" s="4" t="s">
        <v>109</v>
      </c>
      <c r="C88" s="4">
        <v>11</v>
      </c>
    </row>
    <row r="89" spans="1:3" x14ac:dyDescent="0.25">
      <c r="A89" s="1">
        <v>88</v>
      </c>
      <c r="B89" s="4" t="s">
        <v>110</v>
      </c>
      <c r="C89" s="4">
        <v>18</v>
      </c>
    </row>
    <row r="90" spans="1:3" x14ac:dyDescent="0.25">
      <c r="A90" s="1">
        <v>89</v>
      </c>
      <c r="B90" s="4" t="s">
        <v>111</v>
      </c>
      <c r="C90" s="4">
        <v>18</v>
      </c>
    </row>
    <row r="91" spans="1:3" x14ac:dyDescent="0.25">
      <c r="A91" s="1">
        <v>90</v>
      </c>
      <c r="B91" s="4" t="s">
        <v>112</v>
      </c>
      <c r="C91" s="4">
        <v>19</v>
      </c>
    </row>
    <row r="92" spans="1:3" x14ac:dyDescent="0.25">
      <c r="A92" s="1">
        <v>91</v>
      </c>
      <c r="B92" s="4" t="s">
        <v>113</v>
      </c>
      <c r="C92" s="4">
        <v>9</v>
      </c>
    </row>
    <row r="93" spans="1:3" x14ac:dyDescent="0.25">
      <c r="A93" s="1">
        <v>92</v>
      </c>
      <c r="B93" s="4" t="s">
        <v>114</v>
      </c>
      <c r="C93" s="4">
        <v>3</v>
      </c>
    </row>
    <row r="94" spans="1:3" x14ac:dyDescent="0.25">
      <c r="A94" s="1">
        <v>93</v>
      </c>
      <c r="B94" s="4" t="s">
        <v>115</v>
      </c>
      <c r="C94" s="4">
        <v>1</v>
      </c>
    </row>
    <row r="95" spans="1:3" x14ac:dyDescent="0.25">
      <c r="A95" s="1">
        <v>94</v>
      </c>
      <c r="B95" s="4" t="s">
        <v>116</v>
      </c>
      <c r="C95" s="4">
        <v>16</v>
      </c>
    </row>
    <row r="96" spans="1:3" x14ac:dyDescent="0.25">
      <c r="A96" s="1">
        <v>95</v>
      </c>
      <c r="B96" s="4" t="s">
        <v>117</v>
      </c>
      <c r="C96" s="4">
        <v>17</v>
      </c>
    </row>
    <row r="97" spans="1:3" x14ac:dyDescent="0.25">
      <c r="A97" s="1">
        <v>96</v>
      </c>
      <c r="B97" s="4" t="s">
        <v>118</v>
      </c>
      <c r="C97" s="4">
        <v>20</v>
      </c>
    </row>
    <row r="98" spans="1:3" x14ac:dyDescent="0.25">
      <c r="A98" s="1">
        <v>97</v>
      </c>
      <c r="B98" s="4" t="s">
        <v>119</v>
      </c>
      <c r="C98" s="4">
        <v>7</v>
      </c>
    </row>
    <row r="99" spans="1:3" x14ac:dyDescent="0.25">
      <c r="A99" s="1">
        <v>98</v>
      </c>
      <c r="B99" s="4" t="s">
        <v>120</v>
      </c>
      <c r="C99" s="4">
        <v>15</v>
      </c>
    </row>
    <row r="100" spans="1:3" x14ac:dyDescent="0.25">
      <c r="A100" s="1">
        <v>99</v>
      </c>
      <c r="B100" s="4" t="s">
        <v>121</v>
      </c>
      <c r="C100" s="4">
        <v>10</v>
      </c>
    </row>
    <row r="101" spans="1:3" x14ac:dyDescent="0.25">
      <c r="A101" s="1">
        <v>100</v>
      </c>
      <c r="B101" s="4" t="s">
        <v>122</v>
      </c>
      <c r="C101" s="4">
        <v>17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8CA1-B500-4059-93D2-669DDF2E7475}">
  <dimension ref="A1:U101"/>
  <sheetViews>
    <sheetView topLeftCell="F72" zoomScaleNormal="100" workbookViewId="0">
      <selection activeCell="B2" sqref="B2:U101"/>
    </sheetView>
  </sheetViews>
  <sheetFormatPr baseColWidth="10" defaultRowHeight="15" x14ac:dyDescent="0.25"/>
  <cols>
    <col min="2" max="21" width="15.7109375" customWidth="1"/>
  </cols>
  <sheetData>
    <row r="1" spans="1:21" x14ac:dyDescent="0.25">
      <c r="A1" s="1"/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</row>
    <row r="2" spans="1:21" x14ac:dyDescent="0.25">
      <c r="A2" s="1">
        <v>1</v>
      </c>
      <c r="B2" s="4">
        <v>14</v>
      </c>
      <c r="C2" s="4">
        <v>14</v>
      </c>
      <c r="D2" s="4">
        <v>11</v>
      </c>
      <c r="E2" s="4">
        <v>14</v>
      </c>
      <c r="F2" s="4">
        <v>2</v>
      </c>
      <c r="G2" s="4">
        <v>14</v>
      </c>
      <c r="H2" s="4">
        <v>3</v>
      </c>
      <c r="I2" s="4">
        <v>14</v>
      </c>
      <c r="J2" s="4">
        <v>2</v>
      </c>
      <c r="K2" s="4">
        <v>3</v>
      </c>
      <c r="L2" s="4">
        <v>14</v>
      </c>
      <c r="M2" s="4">
        <v>3</v>
      </c>
      <c r="N2" s="4">
        <v>11</v>
      </c>
      <c r="O2" s="4">
        <v>3</v>
      </c>
      <c r="P2" s="4">
        <v>14</v>
      </c>
      <c r="Q2" s="4">
        <v>14</v>
      </c>
      <c r="R2" s="4">
        <v>3</v>
      </c>
      <c r="S2" s="4">
        <v>14</v>
      </c>
      <c r="T2" s="4">
        <v>11</v>
      </c>
      <c r="U2" s="4">
        <v>14</v>
      </c>
    </row>
    <row r="3" spans="1:21" x14ac:dyDescent="0.25">
      <c r="A3" s="1">
        <v>2</v>
      </c>
      <c r="B3" s="4">
        <v>3</v>
      </c>
      <c r="C3" s="4">
        <v>8</v>
      </c>
      <c r="D3" s="4">
        <v>8</v>
      </c>
      <c r="E3" s="4">
        <v>8</v>
      </c>
      <c r="F3" s="4">
        <v>8</v>
      </c>
      <c r="G3" s="4">
        <v>9</v>
      </c>
      <c r="H3" s="4">
        <v>2</v>
      </c>
      <c r="I3" s="4">
        <v>9</v>
      </c>
      <c r="J3" s="4">
        <v>9</v>
      </c>
      <c r="K3" s="4">
        <v>9</v>
      </c>
      <c r="L3" s="4">
        <v>9</v>
      </c>
      <c r="M3" s="4">
        <v>9</v>
      </c>
      <c r="N3" s="4">
        <v>9</v>
      </c>
      <c r="O3" s="4">
        <v>9</v>
      </c>
      <c r="P3" s="4">
        <v>9</v>
      </c>
      <c r="Q3" s="4">
        <v>9</v>
      </c>
      <c r="R3" s="4">
        <v>9</v>
      </c>
      <c r="S3" s="4">
        <v>9</v>
      </c>
      <c r="T3" s="4">
        <v>9</v>
      </c>
      <c r="U3" s="4">
        <v>3</v>
      </c>
    </row>
    <row r="4" spans="1:21" x14ac:dyDescent="0.25">
      <c r="A4" s="1">
        <v>3</v>
      </c>
      <c r="B4" s="4">
        <v>19</v>
      </c>
      <c r="C4" s="4">
        <v>19</v>
      </c>
      <c r="D4" s="4">
        <v>19</v>
      </c>
      <c r="E4" s="4">
        <v>3</v>
      </c>
      <c r="F4" s="4">
        <v>19</v>
      </c>
      <c r="G4" s="4">
        <v>19</v>
      </c>
      <c r="H4" s="4">
        <v>19</v>
      </c>
      <c r="I4" s="4">
        <v>19</v>
      </c>
      <c r="J4" s="4">
        <v>19</v>
      </c>
      <c r="K4" s="4">
        <v>19</v>
      </c>
      <c r="L4" s="4">
        <v>19</v>
      </c>
      <c r="M4" s="4">
        <v>19</v>
      </c>
      <c r="N4" s="4">
        <v>19</v>
      </c>
      <c r="O4" s="4">
        <v>19</v>
      </c>
      <c r="P4" s="4">
        <v>19</v>
      </c>
      <c r="Q4" s="4">
        <v>19</v>
      </c>
      <c r="R4" s="4">
        <v>19</v>
      </c>
      <c r="S4" s="4">
        <v>19</v>
      </c>
      <c r="T4" s="4">
        <v>19</v>
      </c>
      <c r="U4" s="4">
        <v>19</v>
      </c>
    </row>
    <row r="5" spans="1:21" x14ac:dyDescent="0.25">
      <c r="A5" s="1">
        <v>4</v>
      </c>
      <c r="B5" s="4">
        <v>18</v>
      </c>
      <c r="C5" s="4">
        <v>18</v>
      </c>
      <c r="D5" s="4">
        <v>18</v>
      </c>
      <c r="E5" s="4">
        <v>18</v>
      </c>
      <c r="F5" s="4">
        <v>18</v>
      </c>
      <c r="G5" s="4">
        <v>18</v>
      </c>
      <c r="H5" s="4">
        <v>18</v>
      </c>
      <c r="I5" s="4">
        <v>18</v>
      </c>
      <c r="J5" s="4">
        <v>18</v>
      </c>
      <c r="K5" s="4">
        <v>18</v>
      </c>
      <c r="L5" s="4">
        <v>18</v>
      </c>
      <c r="M5" s="4">
        <v>18</v>
      </c>
      <c r="N5" s="4">
        <v>18</v>
      </c>
      <c r="O5" s="4">
        <v>18</v>
      </c>
      <c r="P5" s="4">
        <v>18</v>
      </c>
      <c r="Q5" s="4">
        <v>18</v>
      </c>
      <c r="R5" s="4">
        <v>18</v>
      </c>
      <c r="S5" s="4">
        <v>18</v>
      </c>
      <c r="T5" s="4">
        <v>18</v>
      </c>
      <c r="U5" s="4">
        <v>18</v>
      </c>
    </row>
    <row r="6" spans="1:21" x14ac:dyDescent="0.25">
      <c r="A6" s="1">
        <v>5</v>
      </c>
      <c r="B6" s="4">
        <v>9</v>
      </c>
      <c r="C6" s="4">
        <v>9</v>
      </c>
      <c r="D6" s="4">
        <v>9</v>
      </c>
      <c r="E6" s="4">
        <v>9</v>
      </c>
      <c r="F6" s="4">
        <v>9</v>
      </c>
      <c r="G6" s="4">
        <v>9</v>
      </c>
      <c r="H6" s="4">
        <v>9</v>
      </c>
      <c r="I6" s="4">
        <v>9</v>
      </c>
      <c r="J6" s="4">
        <v>9</v>
      </c>
      <c r="K6" s="4">
        <v>9</v>
      </c>
      <c r="L6" s="4">
        <v>9</v>
      </c>
      <c r="M6" s="4">
        <v>9</v>
      </c>
      <c r="N6" s="4">
        <v>9</v>
      </c>
      <c r="O6" s="4">
        <v>9</v>
      </c>
      <c r="P6" s="4">
        <v>9</v>
      </c>
      <c r="Q6" s="4">
        <v>9</v>
      </c>
      <c r="R6" s="4">
        <v>9</v>
      </c>
      <c r="S6" s="4">
        <v>9</v>
      </c>
      <c r="T6" s="4">
        <v>9</v>
      </c>
      <c r="U6" s="4">
        <v>9</v>
      </c>
    </row>
    <row r="7" spans="1:21" x14ac:dyDescent="0.25">
      <c r="A7" s="1">
        <v>6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</row>
    <row r="8" spans="1:21" x14ac:dyDescent="0.25">
      <c r="A8" s="1">
        <v>7</v>
      </c>
      <c r="B8" s="4">
        <v>15</v>
      </c>
      <c r="C8" s="4">
        <v>15</v>
      </c>
      <c r="D8" s="4">
        <v>15</v>
      </c>
      <c r="E8" s="4">
        <v>15</v>
      </c>
      <c r="F8" s="4">
        <v>15</v>
      </c>
      <c r="G8" s="4">
        <v>15</v>
      </c>
      <c r="H8" s="4">
        <v>15</v>
      </c>
      <c r="I8" s="4">
        <v>15</v>
      </c>
      <c r="J8" s="4">
        <v>15</v>
      </c>
      <c r="K8" s="4">
        <v>15</v>
      </c>
      <c r="L8" s="4">
        <v>15</v>
      </c>
      <c r="M8" s="4">
        <v>15</v>
      </c>
      <c r="N8" s="4">
        <v>15</v>
      </c>
      <c r="O8" s="4">
        <v>15</v>
      </c>
      <c r="P8" s="4">
        <v>15</v>
      </c>
      <c r="Q8" s="4">
        <v>15</v>
      </c>
      <c r="R8" s="4">
        <v>15</v>
      </c>
      <c r="S8" s="4">
        <v>15</v>
      </c>
      <c r="T8" s="4">
        <v>15</v>
      </c>
      <c r="U8" s="4">
        <v>15</v>
      </c>
    </row>
    <row r="9" spans="1:21" x14ac:dyDescent="0.25">
      <c r="A9" s="1">
        <v>8</v>
      </c>
      <c r="B9" s="4">
        <v>2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2</v>
      </c>
      <c r="I9" s="4">
        <v>2</v>
      </c>
      <c r="J9" s="4">
        <v>2</v>
      </c>
      <c r="K9" s="4">
        <v>2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2</v>
      </c>
      <c r="R9" s="4">
        <v>2</v>
      </c>
      <c r="S9" s="4">
        <v>2</v>
      </c>
      <c r="T9" s="4">
        <v>2</v>
      </c>
      <c r="U9" s="4">
        <v>2</v>
      </c>
    </row>
    <row r="10" spans="1:21" x14ac:dyDescent="0.25">
      <c r="A10" s="1">
        <v>9</v>
      </c>
      <c r="B10" s="4">
        <v>7</v>
      </c>
      <c r="C10" s="4">
        <v>7</v>
      </c>
      <c r="D10" s="4">
        <v>7</v>
      </c>
      <c r="E10" s="4">
        <v>7</v>
      </c>
      <c r="F10" s="4">
        <v>7</v>
      </c>
      <c r="G10" s="4">
        <v>7</v>
      </c>
      <c r="H10" s="4">
        <v>7</v>
      </c>
      <c r="I10" s="4">
        <v>7</v>
      </c>
      <c r="J10" s="4">
        <v>7</v>
      </c>
      <c r="K10" s="4">
        <v>7</v>
      </c>
      <c r="L10" s="4">
        <v>7</v>
      </c>
      <c r="M10" s="4">
        <v>7</v>
      </c>
      <c r="N10" s="4">
        <v>7</v>
      </c>
      <c r="O10" s="4">
        <v>7</v>
      </c>
      <c r="P10" s="4">
        <v>7</v>
      </c>
      <c r="Q10" s="4">
        <v>7</v>
      </c>
      <c r="R10" s="4">
        <v>7</v>
      </c>
      <c r="S10" s="4">
        <v>7</v>
      </c>
      <c r="T10" s="4">
        <v>7</v>
      </c>
      <c r="U10" s="4">
        <v>7</v>
      </c>
    </row>
    <row r="11" spans="1:21" x14ac:dyDescent="0.25">
      <c r="A11" s="1">
        <v>10</v>
      </c>
      <c r="B11" s="4">
        <v>18</v>
      </c>
      <c r="C11" s="4">
        <v>18</v>
      </c>
      <c r="D11" s="4">
        <v>18</v>
      </c>
      <c r="E11" s="4">
        <v>18</v>
      </c>
      <c r="F11" s="4">
        <v>18</v>
      </c>
      <c r="G11" s="4">
        <v>18</v>
      </c>
      <c r="H11" s="4">
        <v>18</v>
      </c>
      <c r="I11" s="4">
        <v>18</v>
      </c>
      <c r="J11" s="4">
        <v>18</v>
      </c>
      <c r="K11" s="4">
        <v>18</v>
      </c>
      <c r="L11" s="4">
        <v>18</v>
      </c>
      <c r="M11" s="4">
        <v>18</v>
      </c>
      <c r="N11" s="4">
        <v>18</v>
      </c>
      <c r="O11" s="4">
        <v>18</v>
      </c>
      <c r="P11" s="4">
        <v>18</v>
      </c>
      <c r="Q11" s="4">
        <v>18</v>
      </c>
      <c r="R11" s="4">
        <v>18</v>
      </c>
      <c r="S11" s="4">
        <v>18</v>
      </c>
      <c r="T11" s="4">
        <v>18</v>
      </c>
      <c r="U11" s="4">
        <v>18</v>
      </c>
    </row>
    <row r="12" spans="1:21" x14ac:dyDescent="0.25">
      <c r="A12" s="1">
        <v>11</v>
      </c>
      <c r="B12" s="4">
        <v>2</v>
      </c>
      <c r="C12" s="4">
        <v>2</v>
      </c>
      <c r="D12" s="4">
        <v>2</v>
      </c>
      <c r="E12" s="4">
        <v>2</v>
      </c>
      <c r="F12" s="4">
        <v>2</v>
      </c>
      <c r="G12" s="4">
        <v>2</v>
      </c>
      <c r="H12" s="4">
        <v>2</v>
      </c>
      <c r="I12" s="4">
        <v>2</v>
      </c>
      <c r="J12" s="4">
        <v>2</v>
      </c>
      <c r="K12" s="4">
        <v>2</v>
      </c>
      <c r="L12" s="4">
        <v>2</v>
      </c>
      <c r="M12" s="4">
        <v>2</v>
      </c>
      <c r="N12" s="4">
        <v>2</v>
      </c>
      <c r="O12" s="4">
        <v>2</v>
      </c>
      <c r="P12" s="4">
        <v>2</v>
      </c>
      <c r="Q12" s="4">
        <v>2</v>
      </c>
      <c r="R12" s="4">
        <v>2</v>
      </c>
      <c r="S12" s="4">
        <v>2</v>
      </c>
      <c r="T12" s="4">
        <v>2</v>
      </c>
      <c r="U12" s="4">
        <v>2</v>
      </c>
    </row>
    <row r="13" spans="1:21" x14ac:dyDescent="0.25">
      <c r="A13" s="1">
        <v>12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</row>
    <row r="14" spans="1:21" x14ac:dyDescent="0.25">
      <c r="A14" s="1">
        <v>13</v>
      </c>
      <c r="B14" s="4">
        <v>19</v>
      </c>
      <c r="C14" s="4">
        <v>19</v>
      </c>
      <c r="D14" s="4">
        <v>19</v>
      </c>
      <c r="E14" s="4">
        <v>19</v>
      </c>
      <c r="F14" s="4">
        <v>19</v>
      </c>
      <c r="G14" s="4">
        <v>19</v>
      </c>
      <c r="H14" s="4">
        <v>19</v>
      </c>
      <c r="I14" s="4">
        <v>19</v>
      </c>
      <c r="J14" s="4">
        <v>19</v>
      </c>
      <c r="K14" s="4">
        <v>19</v>
      </c>
      <c r="L14" s="4">
        <v>19</v>
      </c>
      <c r="M14" s="4">
        <v>19</v>
      </c>
      <c r="N14" s="4">
        <v>19</v>
      </c>
      <c r="O14" s="4">
        <v>19</v>
      </c>
      <c r="P14" s="4">
        <v>19</v>
      </c>
      <c r="Q14" s="4">
        <v>19</v>
      </c>
      <c r="R14" s="4">
        <v>19</v>
      </c>
      <c r="S14" s="4">
        <v>19</v>
      </c>
      <c r="T14" s="4">
        <v>19</v>
      </c>
      <c r="U14" s="4">
        <v>19</v>
      </c>
    </row>
    <row r="15" spans="1:21" x14ac:dyDescent="0.25">
      <c r="A15" s="1">
        <v>14</v>
      </c>
      <c r="B15" s="4">
        <v>17</v>
      </c>
      <c r="C15" s="4">
        <v>17</v>
      </c>
      <c r="D15" s="4">
        <v>17</v>
      </c>
      <c r="E15" s="4">
        <v>17</v>
      </c>
      <c r="F15" s="4">
        <v>17</v>
      </c>
      <c r="G15" s="4">
        <v>17</v>
      </c>
      <c r="H15" s="4">
        <v>17</v>
      </c>
      <c r="I15" s="4">
        <v>17</v>
      </c>
      <c r="J15" s="4">
        <v>17</v>
      </c>
      <c r="K15" s="4">
        <v>17</v>
      </c>
      <c r="L15" s="4">
        <v>17</v>
      </c>
      <c r="M15" s="4">
        <v>17</v>
      </c>
      <c r="N15" s="4">
        <v>17</v>
      </c>
      <c r="O15" s="4">
        <v>17</v>
      </c>
      <c r="P15" s="4">
        <v>17</v>
      </c>
      <c r="Q15" s="4">
        <v>17</v>
      </c>
      <c r="R15" s="4">
        <v>17</v>
      </c>
      <c r="S15" s="4">
        <v>17</v>
      </c>
      <c r="T15" s="4">
        <v>17</v>
      </c>
      <c r="U15" s="4">
        <v>17</v>
      </c>
    </row>
    <row r="16" spans="1:21" x14ac:dyDescent="0.25">
      <c r="A16" s="1">
        <v>15</v>
      </c>
      <c r="B16" s="4">
        <v>11</v>
      </c>
      <c r="C16" s="4">
        <v>11</v>
      </c>
      <c r="D16" s="4">
        <v>17</v>
      </c>
      <c r="E16" s="4">
        <v>11</v>
      </c>
      <c r="F16" s="4">
        <v>11</v>
      </c>
      <c r="G16" s="4">
        <v>11</v>
      </c>
      <c r="H16" s="4">
        <v>11</v>
      </c>
      <c r="I16" s="4">
        <v>11</v>
      </c>
      <c r="J16" s="4">
        <v>9</v>
      </c>
      <c r="K16" s="4">
        <v>11</v>
      </c>
      <c r="L16" s="4">
        <v>11</v>
      </c>
      <c r="M16" s="4">
        <v>11</v>
      </c>
      <c r="N16" s="4">
        <v>11</v>
      </c>
      <c r="O16" s="4">
        <v>11</v>
      </c>
      <c r="P16" s="4">
        <v>11</v>
      </c>
      <c r="Q16" s="4">
        <v>11</v>
      </c>
      <c r="R16" s="4">
        <v>11</v>
      </c>
      <c r="S16" s="4">
        <v>11</v>
      </c>
      <c r="T16" s="4">
        <v>11</v>
      </c>
      <c r="U16" s="4">
        <v>11</v>
      </c>
    </row>
    <row r="17" spans="1:21" x14ac:dyDescent="0.25">
      <c r="A17" s="1">
        <v>16</v>
      </c>
      <c r="B17" s="4">
        <v>20</v>
      </c>
      <c r="C17" s="4">
        <v>20</v>
      </c>
      <c r="D17" s="4">
        <v>20</v>
      </c>
      <c r="E17" s="4">
        <v>20</v>
      </c>
      <c r="F17" s="4">
        <v>20</v>
      </c>
      <c r="G17" s="4">
        <v>20</v>
      </c>
      <c r="H17" s="4">
        <v>20</v>
      </c>
      <c r="I17" s="4">
        <v>20</v>
      </c>
      <c r="J17" s="4">
        <v>20</v>
      </c>
      <c r="K17" s="4">
        <v>20</v>
      </c>
      <c r="L17" s="4">
        <v>20</v>
      </c>
      <c r="M17" s="4">
        <v>20</v>
      </c>
      <c r="N17" s="4">
        <v>20</v>
      </c>
      <c r="O17" s="4">
        <v>20</v>
      </c>
      <c r="P17" s="4">
        <v>20</v>
      </c>
      <c r="Q17" s="4">
        <v>20</v>
      </c>
      <c r="R17" s="4">
        <v>20</v>
      </c>
      <c r="S17" s="4">
        <v>20</v>
      </c>
      <c r="T17" s="4">
        <v>20</v>
      </c>
      <c r="U17" s="4">
        <v>20</v>
      </c>
    </row>
    <row r="18" spans="1:21" x14ac:dyDescent="0.25">
      <c r="A18" s="1">
        <v>17</v>
      </c>
      <c r="B18" s="4">
        <v>8</v>
      </c>
      <c r="C18" s="4">
        <v>8</v>
      </c>
      <c r="D18" s="4">
        <v>8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8</v>
      </c>
      <c r="L18" s="4">
        <v>8</v>
      </c>
      <c r="M18" s="4">
        <v>8</v>
      </c>
      <c r="N18" s="4">
        <v>8</v>
      </c>
      <c r="O18" s="4">
        <v>8</v>
      </c>
      <c r="P18" s="4">
        <v>8</v>
      </c>
      <c r="Q18" s="4">
        <v>8</v>
      </c>
      <c r="R18" s="4">
        <v>8</v>
      </c>
      <c r="S18" s="4">
        <v>8</v>
      </c>
      <c r="T18" s="4">
        <v>8</v>
      </c>
      <c r="U18" s="4">
        <v>8</v>
      </c>
    </row>
    <row r="19" spans="1:21" x14ac:dyDescent="0.25">
      <c r="A19" s="1">
        <v>18</v>
      </c>
      <c r="B19" s="4">
        <v>14</v>
      </c>
      <c r="C19" s="4">
        <v>14</v>
      </c>
      <c r="D19" s="4">
        <v>14</v>
      </c>
      <c r="E19" s="4">
        <v>14</v>
      </c>
      <c r="F19" s="4">
        <v>14</v>
      </c>
      <c r="G19" s="4">
        <v>14</v>
      </c>
      <c r="H19" s="4">
        <v>3</v>
      </c>
      <c r="I19" s="4">
        <v>14</v>
      </c>
      <c r="J19" s="4">
        <v>14</v>
      </c>
      <c r="K19" s="4">
        <v>3</v>
      </c>
      <c r="L19" s="4">
        <v>14</v>
      </c>
      <c r="M19" s="4">
        <v>3</v>
      </c>
      <c r="N19" s="4">
        <v>14</v>
      </c>
      <c r="O19" s="4">
        <v>3</v>
      </c>
      <c r="P19" s="4">
        <v>14</v>
      </c>
      <c r="Q19" s="4">
        <v>14</v>
      </c>
      <c r="R19" s="4">
        <v>3</v>
      </c>
      <c r="S19" s="4">
        <v>14</v>
      </c>
      <c r="T19" s="4">
        <v>14</v>
      </c>
      <c r="U19" s="4">
        <v>14</v>
      </c>
    </row>
    <row r="20" spans="1:21" x14ac:dyDescent="0.25">
      <c r="A20" s="1">
        <v>19</v>
      </c>
      <c r="B20" s="4">
        <v>5</v>
      </c>
      <c r="C20" s="4">
        <v>5</v>
      </c>
      <c r="D20" s="4">
        <v>5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>
        <v>5</v>
      </c>
      <c r="M20" s="4">
        <v>5</v>
      </c>
      <c r="N20" s="4">
        <v>5</v>
      </c>
      <c r="O20" s="4">
        <v>5</v>
      </c>
      <c r="P20" s="4">
        <v>5</v>
      </c>
      <c r="Q20" s="4">
        <v>5</v>
      </c>
      <c r="R20" s="4">
        <v>5</v>
      </c>
      <c r="S20" s="4">
        <v>5</v>
      </c>
      <c r="T20" s="4">
        <v>5</v>
      </c>
      <c r="U20" s="4">
        <v>5</v>
      </c>
    </row>
    <row r="21" spans="1:21" x14ac:dyDescent="0.25">
      <c r="A21" s="1">
        <v>20</v>
      </c>
      <c r="B21" s="4">
        <v>13</v>
      </c>
      <c r="C21" s="4">
        <v>3</v>
      </c>
      <c r="D21" s="4">
        <v>13</v>
      </c>
      <c r="E21" s="4">
        <v>13</v>
      </c>
      <c r="F21" s="4">
        <v>13</v>
      </c>
      <c r="G21" s="4">
        <v>13</v>
      </c>
      <c r="H21" s="4">
        <v>13</v>
      </c>
      <c r="I21" s="4">
        <v>9</v>
      </c>
      <c r="J21" s="4">
        <v>13</v>
      </c>
      <c r="K21" s="4">
        <v>13</v>
      </c>
      <c r="L21" s="4">
        <v>13</v>
      </c>
      <c r="M21" s="4">
        <v>13</v>
      </c>
      <c r="N21" s="4">
        <v>13</v>
      </c>
      <c r="O21" s="4">
        <v>13</v>
      </c>
      <c r="P21" s="4">
        <v>13</v>
      </c>
      <c r="Q21" s="4">
        <v>13</v>
      </c>
      <c r="R21" s="4">
        <v>13</v>
      </c>
      <c r="S21" s="4">
        <v>13</v>
      </c>
      <c r="T21" s="4">
        <v>13</v>
      </c>
      <c r="U21" s="4">
        <v>13</v>
      </c>
    </row>
    <row r="22" spans="1:21" x14ac:dyDescent="0.25">
      <c r="A22" s="1">
        <v>21</v>
      </c>
      <c r="B22" s="4">
        <v>4</v>
      </c>
      <c r="C22" s="4">
        <v>4</v>
      </c>
      <c r="D22" s="4">
        <v>4</v>
      </c>
      <c r="E22" s="4">
        <v>4</v>
      </c>
      <c r="F22" s="4">
        <v>4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4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</row>
    <row r="23" spans="1:21" x14ac:dyDescent="0.25">
      <c r="A23" s="1">
        <v>22</v>
      </c>
      <c r="B23" s="4">
        <v>18</v>
      </c>
      <c r="C23" s="4">
        <v>18</v>
      </c>
      <c r="D23" s="4">
        <v>18</v>
      </c>
      <c r="E23" s="4">
        <v>18</v>
      </c>
      <c r="F23" s="4">
        <v>18</v>
      </c>
      <c r="G23" s="4">
        <v>18</v>
      </c>
      <c r="H23" s="4">
        <v>18</v>
      </c>
      <c r="I23" s="4">
        <v>18</v>
      </c>
      <c r="J23" s="4">
        <v>18</v>
      </c>
      <c r="K23" s="4">
        <v>18</v>
      </c>
      <c r="L23" s="4">
        <v>18</v>
      </c>
      <c r="M23" s="4">
        <v>18</v>
      </c>
      <c r="N23" s="4">
        <v>18</v>
      </c>
      <c r="O23" s="4">
        <v>18</v>
      </c>
      <c r="P23" s="4">
        <v>18</v>
      </c>
      <c r="Q23" s="4">
        <v>18</v>
      </c>
      <c r="R23" s="4">
        <v>18</v>
      </c>
      <c r="S23" s="4">
        <v>18</v>
      </c>
      <c r="T23" s="4">
        <v>18</v>
      </c>
      <c r="U23" s="4">
        <v>18</v>
      </c>
    </row>
    <row r="24" spans="1:21" x14ac:dyDescent="0.25">
      <c r="A24" s="1">
        <v>23</v>
      </c>
      <c r="B24" s="4">
        <v>5</v>
      </c>
      <c r="C24" s="4">
        <v>5</v>
      </c>
      <c r="D24" s="4">
        <v>5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4">
        <v>5</v>
      </c>
      <c r="K24" s="4">
        <v>5</v>
      </c>
      <c r="L24" s="4">
        <v>5</v>
      </c>
      <c r="M24" s="4">
        <v>5</v>
      </c>
      <c r="N24" s="4">
        <v>5</v>
      </c>
      <c r="O24" s="4">
        <v>5</v>
      </c>
      <c r="P24" s="4">
        <v>5</v>
      </c>
      <c r="Q24" s="4">
        <v>5</v>
      </c>
      <c r="R24" s="4">
        <v>5</v>
      </c>
      <c r="S24" s="4">
        <v>5</v>
      </c>
      <c r="T24" s="4">
        <v>5</v>
      </c>
      <c r="U24" s="4">
        <v>5</v>
      </c>
    </row>
    <row r="25" spans="1:21" x14ac:dyDescent="0.25">
      <c r="A25" s="1">
        <v>24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4</v>
      </c>
      <c r="J25" s="4">
        <v>1</v>
      </c>
      <c r="K25" s="4">
        <v>1</v>
      </c>
      <c r="L25" s="4">
        <v>1</v>
      </c>
      <c r="M25" s="4">
        <v>1</v>
      </c>
      <c r="N25" s="4">
        <v>7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</row>
    <row r="26" spans="1:21" x14ac:dyDescent="0.25">
      <c r="A26" s="1">
        <v>25</v>
      </c>
      <c r="B26" s="4">
        <v>14</v>
      </c>
      <c r="C26" s="4">
        <v>14</v>
      </c>
      <c r="D26" s="4">
        <v>14</v>
      </c>
      <c r="E26" s="4">
        <v>14</v>
      </c>
      <c r="F26" s="4">
        <v>14</v>
      </c>
      <c r="G26" s="4">
        <v>14</v>
      </c>
      <c r="H26" s="4">
        <v>3</v>
      </c>
      <c r="I26" s="4">
        <v>14</v>
      </c>
      <c r="J26" s="4">
        <v>14</v>
      </c>
      <c r="K26" s="4">
        <v>14</v>
      </c>
      <c r="L26" s="4">
        <v>3</v>
      </c>
      <c r="M26" s="4">
        <v>3</v>
      </c>
      <c r="N26" s="4">
        <v>14</v>
      </c>
      <c r="O26" s="4">
        <v>3</v>
      </c>
      <c r="P26" s="4">
        <v>14</v>
      </c>
      <c r="Q26" s="4">
        <v>14</v>
      </c>
      <c r="R26" s="4">
        <v>14</v>
      </c>
      <c r="S26" s="4">
        <v>14</v>
      </c>
      <c r="T26" s="4">
        <v>14</v>
      </c>
      <c r="U26" s="4">
        <v>14</v>
      </c>
    </row>
    <row r="27" spans="1:21" x14ac:dyDescent="0.25">
      <c r="A27" s="1">
        <v>26</v>
      </c>
      <c r="B27" s="4">
        <v>17</v>
      </c>
      <c r="C27" s="4">
        <v>17</v>
      </c>
      <c r="D27" s="4">
        <v>17</v>
      </c>
      <c r="E27" s="4">
        <v>17</v>
      </c>
      <c r="F27" s="4">
        <v>17</v>
      </c>
      <c r="G27" s="4">
        <v>17</v>
      </c>
      <c r="H27" s="4">
        <v>17</v>
      </c>
      <c r="I27" s="4">
        <v>17</v>
      </c>
      <c r="J27" s="4">
        <v>17</v>
      </c>
      <c r="K27" s="4">
        <v>17</v>
      </c>
      <c r="L27" s="4">
        <v>17</v>
      </c>
      <c r="M27" s="4">
        <v>17</v>
      </c>
      <c r="N27" s="4">
        <v>17</v>
      </c>
      <c r="O27" s="4">
        <v>17</v>
      </c>
      <c r="P27" s="4">
        <v>17</v>
      </c>
      <c r="Q27" s="4">
        <v>17</v>
      </c>
      <c r="R27" s="4">
        <v>17</v>
      </c>
      <c r="S27" s="4">
        <v>17</v>
      </c>
      <c r="T27" s="4">
        <v>17</v>
      </c>
      <c r="U27" s="4">
        <v>17</v>
      </c>
    </row>
    <row r="28" spans="1:21" x14ac:dyDescent="0.25">
      <c r="A28" s="1">
        <v>27</v>
      </c>
      <c r="B28" s="4">
        <v>4</v>
      </c>
      <c r="C28" s="4">
        <v>4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4</v>
      </c>
      <c r="T28" s="4">
        <v>4</v>
      </c>
      <c r="U28" s="4">
        <v>4</v>
      </c>
    </row>
    <row r="29" spans="1:21" x14ac:dyDescent="0.25">
      <c r="A29" s="1">
        <v>28</v>
      </c>
      <c r="B29" s="4">
        <v>6</v>
      </c>
      <c r="C29" s="4">
        <v>6</v>
      </c>
      <c r="D29" s="4">
        <v>6</v>
      </c>
      <c r="E29" s="4">
        <v>6</v>
      </c>
      <c r="F29" s="4">
        <v>6</v>
      </c>
      <c r="G29" s="4">
        <v>6</v>
      </c>
      <c r="H29" s="4">
        <v>6</v>
      </c>
      <c r="I29" s="4">
        <v>6</v>
      </c>
      <c r="J29" s="4">
        <v>6</v>
      </c>
      <c r="K29" s="4">
        <v>6</v>
      </c>
      <c r="L29" s="4">
        <v>6</v>
      </c>
      <c r="M29" s="4">
        <v>6</v>
      </c>
      <c r="N29" s="4">
        <v>6</v>
      </c>
      <c r="O29" s="4">
        <v>6</v>
      </c>
      <c r="P29" s="4">
        <v>6</v>
      </c>
      <c r="Q29" s="4">
        <v>6</v>
      </c>
      <c r="R29" s="4">
        <v>6</v>
      </c>
      <c r="S29" s="4">
        <v>6</v>
      </c>
      <c r="T29" s="4">
        <v>6</v>
      </c>
      <c r="U29" s="4">
        <v>6</v>
      </c>
    </row>
    <row r="30" spans="1:21" x14ac:dyDescent="0.25">
      <c r="A30" s="1">
        <v>29</v>
      </c>
      <c r="B30" s="4">
        <v>7</v>
      </c>
      <c r="C30" s="4">
        <v>7</v>
      </c>
      <c r="D30" s="4">
        <v>7</v>
      </c>
      <c r="E30" s="4">
        <v>7</v>
      </c>
      <c r="F30" s="4">
        <v>7</v>
      </c>
      <c r="G30" s="4">
        <v>16</v>
      </c>
      <c r="H30" s="4">
        <v>7</v>
      </c>
      <c r="I30" s="4">
        <v>7</v>
      </c>
      <c r="J30" s="4">
        <v>7</v>
      </c>
      <c r="K30" s="4">
        <v>7</v>
      </c>
      <c r="L30" s="4">
        <v>7</v>
      </c>
      <c r="M30" s="4">
        <v>7</v>
      </c>
      <c r="N30" s="4">
        <v>4</v>
      </c>
      <c r="O30" s="4">
        <v>7</v>
      </c>
      <c r="P30" s="4">
        <v>7</v>
      </c>
      <c r="Q30" s="4">
        <v>7</v>
      </c>
      <c r="R30" s="4">
        <v>7</v>
      </c>
      <c r="S30" s="4">
        <v>7</v>
      </c>
      <c r="T30" s="4">
        <v>7</v>
      </c>
      <c r="U30" s="4">
        <v>7</v>
      </c>
    </row>
    <row r="31" spans="1:21" x14ac:dyDescent="0.25">
      <c r="A31" s="1">
        <v>30</v>
      </c>
      <c r="B31" s="4">
        <v>14</v>
      </c>
      <c r="C31" s="4">
        <v>14</v>
      </c>
      <c r="D31" s="4">
        <v>14</v>
      </c>
      <c r="E31" s="4">
        <v>14</v>
      </c>
      <c r="F31" s="4">
        <v>14</v>
      </c>
      <c r="G31" s="4">
        <v>14</v>
      </c>
      <c r="H31" s="4">
        <v>3</v>
      </c>
      <c r="I31" s="4">
        <v>14</v>
      </c>
      <c r="J31" s="4">
        <v>14</v>
      </c>
      <c r="K31" s="4">
        <v>3</v>
      </c>
      <c r="L31" s="4">
        <v>14</v>
      </c>
      <c r="M31" s="4">
        <v>14</v>
      </c>
      <c r="N31" s="4">
        <v>14</v>
      </c>
      <c r="O31" s="4">
        <v>3</v>
      </c>
      <c r="P31" s="4">
        <v>14</v>
      </c>
      <c r="Q31" s="4">
        <v>14</v>
      </c>
      <c r="R31" s="4">
        <v>14</v>
      </c>
      <c r="S31" s="4">
        <v>14</v>
      </c>
      <c r="T31" s="4">
        <v>14</v>
      </c>
      <c r="U31" s="4">
        <v>14</v>
      </c>
    </row>
    <row r="32" spans="1:21" x14ac:dyDescent="0.25">
      <c r="A32" s="1">
        <v>31</v>
      </c>
      <c r="B32" s="4">
        <v>3</v>
      </c>
      <c r="C32" s="4">
        <v>3</v>
      </c>
      <c r="D32" s="4">
        <v>3</v>
      </c>
      <c r="E32" s="4">
        <v>3</v>
      </c>
      <c r="F32" s="4">
        <v>3</v>
      </c>
      <c r="G32" s="4">
        <v>3</v>
      </c>
      <c r="H32" s="4">
        <v>3</v>
      </c>
      <c r="I32" s="4">
        <v>3</v>
      </c>
      <c r="J32" s="4">
        <v>3</v>
      </c>
      <c r="K32" s="4">
        <v>3</v>
      </c>
      <c r="L32" s="4">
        <v>3</v>
      </c>
      <c r="M32" s="4">
        <v>3</v>
      </c>
      <c r="N32" s="4">
        <v>3</v>
      </c>
      <c r="O32" s="4">
        <v>3</v>
      </c>
      <c r="P32" s="4">
        <v>3</v>
      </c>
      <c r="Q32" s="4">
        <v>3</v>
      </c>
      <c r="R32" s="4">
        <v>3</v>
      </c>
      <c r="S32" s="4">
        <v>3</v>
      </c>
      <c r="T32" s="4">
        <v>3</v>
      </c>
      <c r="U32" s="4">
        <v>3</v>
      </c>
    </row>
    <row r="33" spans="1:21" x14ac:dyDescent="0.25">
      <c r="A33" s="1">
        <v>32</v>
      </c>
      <c r="B33" s="4">
        <v>17</v>
      </c>
      <c r="C33" s="4">
        <v>17</v>
      </c>
      <c r="D33" s="4">
        <v>17</v>
      </c>
      <c r="E33" s="4">
        <v>17</v>
      </c>
      <c r="F33" s="4">
        <v>17</v>
      </c>
      <c r="G33" s="4">
        <v>17</v>
      </c>
      <c r="H33" s="4">
        <v>17</v>
      </c>
      <c r="I33" s="4">
        <v>17</v>
      </c>
      <c r="J33" s="4">
        <v>17</v>
      </c>
      <c r="K33" s="4">
        <v>17</v>
      </c>
      <c r="L33" s="4">
        <v>17</v>
      </c>
      <c r="M33" s="4">
        <v>17</v>
      </c>
      <c r="N33" s="4">
        <v>17</v>
      </c>
      <c r="O33" s="4">
        <v>17</v>
      </c>
      <c r="P33" s="4">
        <v>17</v>
      </c>
      <c r="Q33" s="4">
        <v>17</v>
      </c>
      <c r="R33" s="4">
        <v>17</v>
      </c>
      <c r="S33" s="4">
        <v>17</v>
      </c>
      <c r="T33" s="4">
        <v>17</v>
      </c>
      <c r="U33" s="4">
        <v>17</v>
      </c>
    </row>
    <row r="34" spans="1:21" x14ac:dyDescent="0.25">
      <c r="A34" s="1">
        <v>33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</row>
    <row r="35" spans="1:21" x14ac:dyDescent="0.25">
      <c r="A35" s="1">
        <v>34</v>
      </c>
      <c r="B35" s="4">
        <v>8</v>
      </c>
      <c r="C35" s="4">
        <v>8</v>
      </c>
      <c r="D35" s="4">
        <v>8</v>
      </c>
      <c r="E35" s="4">
        <v>8</v>
      </c>
      <c r="F35" s="4">
        <v>8</v>
      </c>
      <c r="G35" s="4">
        <v>8</v>
      </c>
      <c r="H35" s="4">
        <v>8</v>
      </c>
      <c r="I35" s="4">
        <v>8</v>
      </c>
      <c r="J35" s="4">
        <v>8</v>
      </c>
      <c r="K35" s="4">
        <v>8</v>
      </c>
      <c r="L35" s="4">
        <v>8</v>
      </c>
      <c r="M35" s="4">
        <v>8</v>
      </c>
      <c r="N35" s="4">
        <v>8</v>
      </c>
      <c r="O35" s="4">
        <v>8</v>
      </c>
      <c r="P35" s="4">
        <v>8</v>
      </c>
      <c r="Q35" s="4">
        <v>8</v>
      </c>
      <c r="R35" s="4">
        <v>8</v>
      </c>
      <c r="S35" s="4">
        <v>8</v>
      </c>
      <c r="T35" s="4">
        <v>8</v>
      </c>
      <c r="U35" s="4">
        <v>8</v>
      </c>
    </row>
    <row r="36" spans="1:21" x14ac:dyDescent="0.25">
      <c r="A36" s="1">
        <v>35</v>
      </c>
      <c r="B36" s="4">
        <v>19</v>
      </c>
      <c r="C36" s="4">
        <v>19</v>
      </c>
      <c r="D36" s="4">
        <v>19</v>
      </c>
      <c r="E36" s="4">
        <v>19</v>
      </c>
      <c r="F36" s="4">
        <v>19</v>
      </c>
      <c r="G36" s="4">
        <v>19</v>
      </c>
      <c r="H36" s="4">
        <v>19</v>
      </c>
      <c r="I36" s="4">
        <v>19</v>
      </c>
      <c r="J36" s="4">
        <v>19</v>
      </c>
      <c r="K36" s="4">
        <v>19</v>
      </c>
      <c r="L36" s="4">
        <v>19</v>
      </c>
      <c r="M36" s="4">
        <v>19</v>
      </c>
      <c r="N36" s="4">
        <v>19</v>
      </c>
      <c r="O36" s="4">
        <v>19</v>
      </c>
      <c r="P36" s="4">
        <v>19</v>
      </c>
      <c r="Q36" s="4">
        <v>19</v>
      </c>
      <c r="R36" s="4">
        <v>19</v>
      </c>
      <c r="S36" s="4">
        <v>19</v>
      </c>
      <c r="T36" s="4">
        <v>19</v>
      </c>
      <c r="U36" s="4">
        <v>19</v>
      </c>
    </row>
    <row r="37" spans="1:21" x14ac:dyDescent="0.25">
      <c r="A37" s="1">
        <v>36</v>
      </c>
      <c r="B37" s="4">
        <v>10</v>
      </c>
      <c r="C37" s="4">
        <v>10</v>
      </c>
      <c r="D37" s="4">
        <v>10</v>
      </c>
      <c r="E37" s="4">
        <v>10</v>
      </c>
      <c r="F37" s="4">
        <v>10</v>
      </c>
      <c r="G37" s="4">
        <v>10</v>
      </c>
      <c r="H37" s="4">
        <v>10</v>
      </c>
      <c r="I37" s="4">
        <v>10</v>
      </c>
      <c r="J37" s="4">
        <v>10</v>
      </c>
      <c r="K37" s="4">
        <v>10</v>
      </c>
      <c r="L37" s="4">
        <v>10</v>
      </c>
      <c r="M37" s="4">
        <v>10</v>
      </c>
      <c r="N37" s="4">
        <v>10</v>
      </c>
      <c r="O37" s="4">
        <v>10</v>
      </c>
      <c r="P37" s="4">
        <v>10</v>
      </c>
      <c r="Q37" s="4">
        <v>10</v>
      </c>
      <c r="R37" s="4">
        <v>10</v>
      </c>
      <c r="S37" s="4">
        <v>10</v>
      </c>
      <c r="T37" s="4">
        <v>10</v>
      </c>
      <c r="U37" s="4">
        <v>10</v>
      </c>
    </row>
    <row r="38" spans="1:21" x14ac:dyDescent="0.25">
      <c r="A38" s="1">
        <v>37</v>
      </c>
      <c r="B38" s="4">
        <v>6</v>
      </c>
      <c r="C38" s="4">
        <v>6</v>
      </c>
      <c r="D38" s="4">
        <v>6</v>
      </c>
      <c r="E38" s="4">
        <v>6</v>
      </c>
      <c r="F38" s="4">
        <v>6</v>
      </c>
      <c r="G38" s="4">
        <v>6</v>
      </c>
      <c r="H38" s="4">
        <v>6</v>
      </c>
      <c r="I38" s="4">
        <v>6</v>
      </c>
      <c r="J38" s="4">
        <v>6</v>
      </c>
      <c r="K38" s="4">
        <v>6</v>
      </c>
      <c r="L38" s="4">
        <v>6</v>
      </c>
      <c r="M38" s="4">
        <v>6</v>
      </c>
      <c r="N38" s="4">
        <v>6</v>
      </c>
      <c r="O38" s="4">
        <v>6</v>
      </c>
      <c r="P38" s="4">
        <v>6</v>
      </c>
      <c r="Q38" s="4">
        <v>6</v>
      </c>
      <c r="R38" s="4">
        <v>6</v>
      </c>
      <c r="S38" s="4">
        <v>6</v>
      </c>
      <c r="T38" s="4">
        <v>6</v>
      </c>
      <c r="U38" s="4">
        <v>6</v>
      </c>
    </row>
    <row r="39" spans="1:21" x14ac:dyDescent="0.25">
      <c r="A39" s="1">
        <v>38</v>
      </c>
      <c r="B39" s="4">
        <v>14</v>
      </c>
      <c r="C39" s="4">
        <v>14</v>
      </c>
      <c r="D39" s="4">
        <v>14</v>
      </c>
      <c r="E39" s="4">
        <v>14</v>
      </c>
      <c r="F39" s="4">
        <v>3</v>
      </c>
      <c r="G39" s="4">
        <v>14</v>
      </c>
      <c r="H39" s="4">
        <v>3</v>
      </c>
      <c r="I39" s="4">
        <v>14</v>
      </c>
      <c r="J39" s="4">
        <v>14</v>
      </c>
      <c r="K39" s="4">
        <v>3</v>
      </c>
      <c r="L39" s="4">
        <v>14</v>
      </c>
      <c r="M39" s="4">
        <v>3</v>
      </c>
      <c r="N39" s="4">
        <v>14</v>
      </c>
      <c r="O39" s="4">
        <v>14</v>
      </c>
      <c r="P39" s="4">
        <v>14</v>
      </c>
      <c r="Q39" s="4">
        <v>14</v>
      </c>
      <c r="R39" s="4">
        <v>3</v>
      </c>
      <c r="S39" s="4">
        <v>14</v>
      </c>
      <c r="T39" s="4">
        <v>14</v>
      </c>
      <c r="U39" s="4">
        <v>14</v>
      </c>
    </row>
    <row r="40" spans="1:21" x14ac:dyDescent="0.25">
      <c r="A40" s="1">
        <v>39</v>
      </c>
      <c r="B40" s="4">
        <v>4</v>
      </c>
      <c r="C40" s="4">
        <v>4</v>
      </c>
      <c r="D40" s="4">
        <v>4</v>
      </c>
      <c r="E40" s="4">
        <v>4</v>
      </c>
      <c r="F40" s="4"/>
      <c r="G40" s="4">
        <v>4</v>
      </c>
      <c r="H40" s="4">
        <v>4</v>
      </c>
      <c r="I40" s="4">
        <v>4</v>
      </c>
      <c r="J40" s="4">
        <v>4</v>
      </c>
      <c r="K40" s="4">
        <v>4</v>
      </c>
      <c r="L40" s="4">
        <v>4</v>
      </c>
      <c r="M40" s="4">
        <v>4</v>
      </c>
      <c r="N40" s="4">
        <v>4</v>
      </c>
      <c r="O40" s="4">
        <v>4</v>
      </c>
      <c r="P40" s="4">
        <v>4</v>
      </c>
      <c r="Q40" s="4">
        <v>4</v>
      </c>
      <c r="R40" s="4">
        <v>4</v>
      </c>
      <c r="S40" s="4">
        <v>4</v>
      </c>
      <c r="T40" s="4">
        <v>4</v>
      </c>
      <c r="U40" s="4">
        <v>4</v>
      </c>
    </row>
    <row r="41" spans="1:21" x14ac:dyDescent="0.25">
      <c r="A41" s="1">
        <v>40</v>
      </c>
      <c r="B41" s="4">
        <v>3</v>
      </c>
      <c r="C41" s="4">
        <v>3</v>
      </c>
      <c r="D41" s="4">
        <v>3</v>
      </c>
      <c r="E41" s="4">
        <v>3</v>
      </c>
      <c r="F41" s="4">
        <v>3</v>
      </c>
      <c r="G41" s="4">
        <v>3</v>
      </c>
      <c r="H41" s="4">
        <v>3</v>
      </c>
      <c r="I41" s="4">
        <v>3</v>
      </c>
      <c r="J41" s="4">
        <v>3</v>
      </c>
      <c r="K41" s="4">
        <v>3</v>
      </c>
      <c r="L41" s="4">
        <v>3</v>
      </c>
      <c r="M41" s="4">
        <v>3</v>
      </c>
      <c r="N41" s="4">
        <v>3</v>
      </c>
      <c r="O41" s="4">
        <v>3</v>
      </c>
      <c r="P41" s="4">
        <v>3</v>
      </c>
      <c r="Q41" s="4">
        <v>3</v>
      </c>
      <c r="R41" s="4">
        <v>3</v>
      </c>
      <c r="S41" s="4">
        <v>3</v>
      </c>
      <c r="T41" s="4">
        <v>3</v>
      </c>
      <c r="U41" s="4">
        <v>3</v>
      </c>
    </row>
    <row r="42" spans="1:21" x14ac:dyDescent="0.25">
      <c r="A42" s="1">
        <v>41</v>
      </c>
      <c r="B42" s="4">
        <v>10</v>
      </c>
      <c r="C42" s="4">
        <v>10</v>
      </c>
      <c r="D42" s="4">
        <v>10</v>
      </c>
      <c r="E42" s="4">
        <v>10</v>
      </c>
      <c r="F42" s="4">
        <v>10</v>
      </c>
      <c r="G42" s="4">
        <v>10</v>
      </c>
      <c r="H42" s="4">
        <v>10</v>
      </c>
      <c r="I42" s="4">
        <v>10</v>
      </c>
      <c r="J42" s="4">
        <v>10</v>
      </c>
      <c r="K42" s="4">
        <v>10</v>
      </c>
      <c r="L42" s="4">
        <v>10</v>
      </c>
      <c r="M42" s="4">
        <v>10</v>
      </c>
      <c r="N42" s="4">
        <v>10</v>
      </c>
      <c r="O42" s="4">
        <v>10</v>
      </c>
      <c r="P42" s="4">
        <v>10</v>
      </c>
      <c r="Q42" s="4">
        <v>10</v>
      </c>
      <c r="R42" s="4">
        <v>10</v>
      </c>
      <c r="S42" s="4">
        <v>10</v>
      </c>
      <c r="T42" s="4">
        <v>10</v>
      </c>
      <c r="U42" s="4">
        <v>10</v>
      </c>
    </row>
    <row r="43" spans="1:21" x14ac:dyDescent="0.25">
      <c r="A43" s="1">
        <v>42</v>
      </c>
      <c r="B43" s="4">
        <v>9</v>
      </c>
      <c r="C43" s="4">
        <v>9</v>
      </c>
      <c r="D43" s="4">
        <v>9</v>
      </c>
      <c r="E43" s="4">
        <v>9</v>
      </c>
      <c r="F43" s="4">
        <v>9</v>
      </c>
      <c r="G43" s="4">
        <v>9</v>
      </c>
      <c r="H43" s="4">
        <v>9</v>
      </c>
      <c r="I43" s="4">
        <v>9</v>
      </c>
      <c r="J43" s="4">
        <v>9</v>
      </c>
      <c r="K43" s="4">
        <v>9</v>
      </c>
      <c r="L43" s="4">
        <v>9</v>
      </c>
      <c r="M43" s="4">
        <v>9</v>
      </c>
      <c r="N43" s="4">
        <v>9</v>
      </c>
      <c r="O43" s="4">
        <v>9</v>
      </c>
      <c r="P43" s="4">
        <v>9</v>
      </c>
      <c r="Q43" s="4">
        <v>9</v>
      </c>
      <c r="R43" s="4">
        <v>9</v>
      </c>
      <c r="S43" s="4">
        <v>9</v>
      </c>
      <c r="T43" s="4">
        <v>9</v>
      </c>
      <c r="U43" s="4">
        <v>9</v>
      </c>
    </row>
    <row r="44" spans="1:21" x14ac:dyDescent="0.25">
      <c r="A44" s="1">
        <v>43</v>
      </c>
      <c r="B44" s="4">
        <v>10</v>
      </c>
      <c r="C44" s="4">
        <v>10</v>
      </c>
      <c r="D44" s="4">
        <v>10</v>
      </c>
      <c r="E44" s="4">
        <v>10</v>
      </c>
      <c r="F44" s="4">
        <v>10</v>
      </c>
      <c r="G44" s="4">
        <v>10</v>
      </c>
      <c r="H44" s="4">
        <v>10</v>
      </c>
      <c r="I44" s="4">
        <v>10</v>
      </c>
      <c r="J44" s="4">
        <v>10</v>
      </c>
      <c r="K44" s="4">
        <v>10</v>
      </c>
      <c r="L44" s="4">
        <v>10</v>
      </c>
      <c r="M44" s="4">
        <v>10</v>
      </c>
      <c r="N44" s="4">
        <v>10</v>
      </c>
      <c r="O44" s="4">
        <v>10</v>
      </c>
      <c r="P44" s="4">
        <v>10</v>
      </c>
      <c r="Q44" s="4">
        <v>10</v>
      </c>
      <c r="R44" s="4">
        <v>10</v>
      </c>
      <c r="S44" s="4">
        <v>10</v>
      </c>
      <c r="T44" s="4">
        <v>10</v>
      </c>
      <c r="U44" s="4">
        <v>10</v>
      </c>
    </row>
    <row r="45" spans="1:21" x14ac:dyDescent="0.25">
      <c r="A45" s="1">
        <v>44</v>
      </c>
      <c r="B45" s="4">
        <v>2</v>
      </c>
      <c r="C45" s="4">
        <v>2</v>
      </c>
      <c r="D45" s="4">
        <v>2</v>
      </c>
      <c r="E45" s="4">
        <v>2</v>
      </c>
      <c r="F45" s="4">
        <v>2</v>
      </c>
      <c r="G45" s="4">
        <v>2</v>
      </c>
      <c r="H45" s="4">
        <v>2</v>
      </c>
      <c r="I45" s="4">
        <v>2</v>
      </c>
      <c r="J45" s="4">
        <v>2</v>
      </c>
      <c r="K45" s="4">
        <v>2</v>
      </c>
      <c r="L45" s="4">
        <v>2</v>
      </c>
      <c r="M45" s="4">
        <v>2</v>
      </c>
      <c r="N45" s="4">
        <v>2</v>
      </c>
      <c r="O45" s="4">
        <v>2</v>
      </c>
      <c r="P45" s="4">
        <v>2</v>
      </c>
      <c r="Q45" s="4">
        <v>2</v>
      </c>
      <c r="R45" s="4">
        <v>2</v>
      </c>
      <c r="S45" s="4">
        <v>2</v>
      </c>
      <c r="T45" s="4">
        <v>2</v>
      </c>
      <c r="U45" s="4">
        <v>2</v>
      </c>
    </row>
    <row r="46" spans="1:21" x14ac:dyDescent="0.25">
      <c r="A46" s="1">
        <v>45</v>
      </c>
      <c r="B46" s="4">
        <v>8</v>
      </c>
      <c r="C46" s="4">
        <v>8</v>
      </c>
      <c r="D46" s="4">
        <v>8</v>
      </c>
      <c r="E46" s="4">
        <v>8</v>
      </c>
      <c r="F46" s="4">
        <v>8</v>
      </c>
      <c r="G46" s="4">
        <v>8</v>
      </c>
      <c r="H46" s="4">
        <v>8</v>
      </c>
      <c r="I46" s="4">
        <v>8</v>
      </c>
      <c r="J46" s="4">
        <v>8</v>
      </c>
      <c r="K46" s="4">
        <v>8</v>
      </c>
      <c r="L46" s="4">
        <v>8</v>
      </c>
      <c r="M46" s="4">
        <v>8</v>
      </c>
      <c r="N46" s="4">
        <v>8</v>
      </c>
      <c r="O46" s="4">
        <v>8</v>
      </c>
      <c r="P46" s="4">
        <v>8</v>
      </c>
      <c r="Q46" s="4">
        <v>8</v>
      </c>
      <c r="R46" s="4">
        <v>8</v>
      </c>
      <c r="S46" s="4">
        <v>8</v>
      </c>
      <c r="T46" s="4">
        <v>8</v>
      </c>
      <c r="U46" s="4">
        <v>8</v>
      </c>
    </row>
    <row r="47" spans="1:21" x14ac:dyDescent="0.25">
      <c r="A47" s="1">
        <v>46</v>
      </c>
      <c r="B47" s="4">
        <v>4</v>
      </c>
      <c r="C47" s="4">
        <v>4</v>
      </c>
      <c r="D47" s="4">
        <v>4</v>
      </c>
      <c r="E47" s="4">
        <v>4</v>
      </c>
      <c r="F47" s="4">
        <v>4</v>
      </c>
      <c r="G47" s="4">
        <v>4</v>
      </c>
      <c r="H47" s="4">
        <v>4</v>
      </c>
      <c r="I47" s="4">
        <v>4</v>
      </c>
      <c r="J47" s="4">
        <v>4</v>
      </c>
      <c r="K47" s="4">
        <v>4</v>
      </c>
      <c r="L47" s="4">
        <v>4</v>
      </c>
      <c r="M47" s="4">
        <v>4</v>
      </c>
      <c r="N47" s="4">
        <v>4</v>
      </c>
      <c r="O47" s="4">
        <v>4</v>
      </c>
      <c r="P47" s="4">
        <v>4</v>
      </c>
      <c r="Q47" s="4">
        <v>4</v>
      </c>
      <c r="R47" s="4">
        <v>4</v>
      </c>
      <c r="S47" s="4">
        <v>4</v>
      </c>
      <c r="T47" s="4">
        <v>4</v>
      </c>
      <c r="U47" s="4">
        <v>4</v>
      </c>
    </row>
    <row r="48" spans="1:21" x14ac:dyDescent="0.25">
      <c r="A48" s="1">
        <v>47</v>
      </c>
      <c r="B48" s="4">
        <v>17</v>
      </c>
      <c r="C48" s="4">
        <v>17</v>
      </c>
      <c r="D48" s="4">
        <v>17</v>
      </c>
      <c r="E48" s="4">
        <v>17</v>
      </c>
      <c r="F48" s="4">
        <v>17</v>
      </c>
      <c r="G48" s="4">
        <v>17</v>
      </c>
      <c r="H48" s="4">
        <v>17</v>
      </c>
      <c r="I48" s="4">
        <v>17</v>
      </c>
      <c r="J48" s="4">
        <v>17</v>
      </c>
      <c r="K48" s="4">
        <v>17</v>
      </c>
      <c r="L48" s="4">
        <v>17</v>
      </c>
      <c r="M48" s="4">
        <v>17</v>
      </c>
      <c r="N48" s="4">
        <v>17</v>
      </c>
      <c r="O48" s="4">
        <v>17</v>
      </c>
      <c r="P48" s="4">
        <v>17</v>
      </c>
      <c r="Q48" s="4">
        <v>17</v>
      </c>
      <c r="R48" s="4">
        <v>17</v>
      </c>
      <c r="S48" s="4">
        <v>17</v>
      </c>
      <c r="T48" s="4">
        <v>17</v>
      </c>
      <c r="U48" s="4">
        <v>17</v>
      </c>
    </row>
    <row r="49" spans="1:21" x14ac:dyDescent="0.25">
      <c r="A49" s="1">
        <v>48</v>
      </c>
      <c r="B49" s="4">
        <v>11</v>
      </c>
      <c r="C49" s="4">
        <v>11</v>
      </c>
      <c r="D49" s="4">
        <v>11</v>
      </c>
      <c r="E49" s="4">
        <v>11</v>
      </c>
      <c r="F49" s="4">
        <v>11</v>
      </c>
      <c r="G49" s="4">
        <v>11</v>
      </c>
      <c r="H49" s="4">
        <v>11</v>
      </c>
      <c r="I49" s="4">
        <v>11</v>
      </c>
      <c r="J49" s="4">
        <v>11</v>
      </c>
      <c r="K49" s="4">
        <v>11</v>
      </c>
      <c r="L49" s="4">
        <v>11</v>
      </c>
      <c r="M49" s="4">
        <v>11</v>
      </c>
      <c r="N49" s="4">
        <v>11</v>
      </c>
      <c r="O49" s="4">
        <v>11</v>
      </c>
      <c r="P49" s="4">
        <v>11</v>
      </c>
      <c r="Q49" s="4">
        <v>11</v>
      </c>
      <c r="R49" s="4">
        <v>11</v>
      </c>
      <c r="S49" s="4">
        <v>11</v>
      </c>
      <c r="T49" s="4">
        <v>11</v>
      </c>
      <c r="U49" s="4">
        <v>11</v>
      </c>
    </row>
    <row r="50" spans="1:21" x14ac:dyDescent="0.25">
      <c r="A50" s="1">
        <v>49</v>
      </c>
      <c r="B50" s="4">
        <v>5</v>
      </c>
      <c r="C50" s="4">
        <v>5</v>
      </c>
      <c r="D50" s="4">
        <v>5</v>
      </c>
      <c r="E50" s="4">
        <v>5</v>
      </c>
      <c r="F50" s="4">
        <v>5</v>
      </c>
      <c r="G50" s="4">
        <v>5</v>
      </c>
      <c r="H50" s="4">
        <v>5</v>
      </c>
      <c r="I50" s="4">
        <v>5</v>
      </c>
      <c r="J50" s="4">
        <v>5</v>
      </c>
      <c r="K50" s="4">
        <v>5</v>
      </c>
      <c r="L50" s="4">
        <v>5</v>
      </c>
      <c r="M50" s="4">
        <v>5</v>
      </c>
      <c r="N50" s="4">
        <v>5</v>
      </c>
      <c r="O50" s="4">
        <v>5</v>
      </c>
      <c r="P50" s="4">
        <v>5</v>
      </c>
      <c r="Q50" s="4">
        <v>5</v>
      </c>
      <c r="R50" s="4">
        <v>5</v>
      </c>
      <c r="S50" s="4">
        <v>5</v>
      </c>
      <c r="T50" s="4">
        <v>5</v>
      </c>
      <c r="U50" s="4">
        <v>5</v>
      </c>
    </row>
    <row r="51" spans="1:21" x14ac:dyDescent="0.25">
      <c r="A51" s="1">
        <v>50</v>
      </c>
      <c r="B51" s="4">
        <v>9</v>
      </c>
      <c r="C51" s="4">
        <v>9</v>
      </c>
      <c r="D51" s="4">
        <v>9</v>
      </c>
      <c r="E51" s="4">
        <v>9</v>
      </c>
      <c r="F51" s="4">
        <v>9</v>
      </c>
      <c r="G51" s="4">
        <v>9</v>
      </c>
      <c r="H51" s="4">
        <v>9</v>
      </c>
      <c r="I51" s="4">
        <v>9</v>
      </c>
      <c r="J51" s="4">
        <v>9</v>
      </c>
      <c r="K51" s="4">
        <v>9</v>
      </c>
      <c r="L51" s="4">
        <v>9</v>
      </c>
      <c r="M51" s="4">
        <v>9</v>
      </c>
      <c r="N51" s="4">
        <v>9</v>
      </c>
      <c r="O51" s="4">
        <v>9</v>
      </c>
      <c r="P51" s="4">
        <v>9</v>
      </c>
      <c r="Q51" s="4">
        <v>9</v>
      </c>
      <c r="R51" s="4">
        <v>9</v>
      </c>
      <c r="S51" s="4">
        <v>9</v>
      </c>
      <c r="T51" s="4">
        <v>9</v>
      </c>
      <c r="U51" s="4">
        <v>9</v>
      </c>
    </row>
    <row r="52" spans="1:21" x14ac:dyDescent="0.25">
      <c r="A52" s="1">
        <v>51</v>
      </c>
      <c r="B52" s="4">
        <v>3</v>
      </c>
      <c r="C52" s="4">
        <v>3</v>
      </c>
      <c r="D52" s="4">
        <v>3</v>
      </c>
      <c r="E52" s="4">
        <v>3</v>
      </c>
      <c r="F52" s="4">
        <v>3</v>
      </c>
      <c r="G52" s="4">
        <v>3</v>
      </c>
      <c r="H52" s="4">
        <v>3</v>
      </c>
      <c r="I52" s="4">
        <v>3</v>
      </c>
      <c r="J52" s="4">
        <v>3</v>
      </c>
      <c r="K52" s="4">
        <v>3</v>
      </c>
      <c r="L52" s="4">
        <v>3</v>
      </c>
      <c r="M52" s="4">
        <v>3</v>
      </c>
      <c r="N52" s="4">
        <v>3</v>
      </c>
      <c r="O52" s="4">
        <v>3</v>
      </c>
      <c r="P52" s="4">
        <v>3</v>
      </c>
      <c r="Q52" s="4">
        <v>3</v>
      </c>
      <c r="R52" s="4">
        <v>3</v>
      </c>
      <c r="S52" s="4">
        <v>3</v>
      </c>
      <c r="T52" s="4">
        <v>3</v>
      </c>
      <c r="U52" s="4">
        <v>3</v>
      </c>
    </row>
    <row r="53" spans="1:21" x14ac:dyDescent="0.25">
      <c r="A53" s="1">
        <v>52</v>
      </c>
      <c r="B53" s="4">
        <v>19</v>
      </c>
      <c r="C53" s="4">
        <v>19</v>
      </c>
      <c r="D53" s="4">
        <v>19</v>
      </c>
      <c r="E53" s="4">
        <v>19</v>
      </c>
      <c r="F53" s="4">
        <v>19</v>
      </c>
      <c r="G53" s="4">
        <v>19</v>
      </c>
      <c r="H53" s="4">
        <v>19</v>
      </c>
      <c r="I53" s="4">
        <v>19</v>
      </c>
      <c r="J53" s="4">
        <v>19</v>
      </c>
      <c r="K53" s="4">
        <v>19</v>
      </c>
      <c r="L53" s="4">
        <v>19</v>
      </c>
      <c r="M53" s="4">
        <v>19</v>
      </c>
      <c r="N53" s="4">
        <v>19</v>
      </c>
      <c r="O53" s="4">
        <v>19</v>
      </c>
      <c r="P53" s="4">
        <v>19</v>
      </c>
      <c r="Q53" s="4">
        <v>19</v>
      </c>
      <c r="R53" s="4">
        <v>19</v>
      </c>
      <c r="S53" s="4">
        <v>19</v>
      </c>
      <c r="T53" s="4">
        <v>19</v>
      </c>
      <c r="U53" s="4">
        <v>19</v>
      </c>
    </row>
    <row r="54" spans="1:21" x14ac:dyDescent="0.25">
      <c r="A54" s="1">
        <v>53</v>
      </c>
      <c r="B54" s="4">
        <v>13</v>
      </c>
      <c r="C54" s="4">
        <v>13</v>
      </c>
      <c r="D54" s="4">
        <v>13</v>
      </c>
      <c r="E54" s="4">
        <v>13</v>
      </c>
      <c r="F54" s="4">
        <v>13</v>
      </c>
      <c r="G54" s="4">
        <v>13</v>
      </c>
      <c r="H54" s="4">
        <v>13</v>
      </c>
      <c r="I54" s="4">
        <v>13</v>
      </c>
      <c r="J54" s="4">
        <v>13</v>
      </c>
      <c r="K54" s="4">
        <v>13</v>
      </c>
      <c r="L54" s="4">
        <v>13</v>
      </c>
      <c r="M54" s="4">
        <v>13</v>
      </c>
      <c r="N54" s="4">
        <v>13</v>
      </c>
      <c r="O54" s="4">
        <v>13</v>
      </c>
      <c r="P54" s="4">
        <v>13</v>
      </c>
      <c r="Q54" s="4">
        <v>13</v>
      </c>
      <c r="R54" s="4">
        <v>13</v>
      </c>
      <c r="S54" s="4">
        <v>13</v>
      </c>
      <c r="T54" s="4">
        <v>13</v>
      </c>
      <c r="U54" s="4">
        <v>13</v>
      </c>
    </row>
    <row r="55" spans="1:21" x14ac:dyDescent="0.25">
      <c r="A55" s="1">
        <v>54</v>
      </c>
      <c r="B55" s="4">
        <v>17</v>
      </c>
      <c r="C55" s="4">
        <v>17</v>
      </c>
      <c r="D55" s="4">
        <v>17</v>
      </c>
      <c r="E55" s="4">
        <v>17</v>
      </c>
      <c r="F55" s="4">
        <v>17</v>
      </c>
      <c r="G55" s="4">
        <v>17</v>
      </c>
      <c r="H55" s="4">
        <v>17</v>
      </c>
      <c r="I55" s="4">
        <v>17</v>
      </c>
      <c r="J55" s="4">
        <v>17</v>
      </c>
      <c r="K55" s="4">
        <v>17</v>
      </c>
      <c r="L55" s="4">
        <v>17</v>
      </c>
      <c r="M55" s="4">
        <v>17</v>
      </c>
      <c r="N55" s="4">
        <v>17</v>
      </c>
      <c r="O55" s="4">
        <v>17</v>
      </c>
      <c r="P55" s="4">
        <v>17</v>
      </c>
      <c r="Q55" s="4">
        <v>17</v>
      </c>
      <c r="R55" s="4">
        <v>17</v>
      </c>
      <c r="S55" s="4">
        <v>17</v>
      </c>
      <c r="T55" s="4">
        <v>17</v>
      </c>
      <c r="U55" s="4">
        <v>17</v>
      </c>
    </row>
    <row r="56" spans="1:21" x14ac:dyDescent="0.25">
      <c r="A56" s="1">
        <v>55</v>
      </c>
      <c r="B56" s="4">
        <v>15</v>
      </c>
      <c r="C56" s="4">
        <v>15</v>
      </c>
      <c r="D56" s="4">
        <v>15</v>
      </c>
      <c r="E56" s="4">
        <v>15</v>
      </c>
      <c r="F56" s="4">
        <v>15</v>
      </c>
      <c r="G56" s="4">
        <v>15</v>
      </c>
      <c r="H56" s="4">
        <v>15</v>
      </c>
      <c r="I56" s="4">
        <v>15</v>
      </c>
      <c r="J56" s="4">
        <v>15</v>
      </c>
      <c r="K56" s="4">
        <v>15</v>
      </c>
      <c r="L56" s="4">
        <v>15</v>
      </c>
      <c r="M56" s="4">
        <v>15</v>
      </c>
      <c r="N56" s="4">
        <v>15</v>
      </c>
      <c r="O56" s="4">
        <v>15</v>
      </c>
      <c r="P56" s="4">
        <v>15</v>
      </c>
      <c r="Q56" s="4">
        <v>15</v>
      </c>
      <c r="R56" s="4">
        <v>15</v>
      </c>
      <c r="S56" s="4">
        <v>15</v>
      </c>
      <c r="T56" s="4">
        <v>15</v>
      </c>
      <c r="U56" s="4">
        <v>15</v>
      </c>
    </row>
    <row r="57" spans="1:21" x14ac:dyDescent="0.25">
      <c r="A57" s="1">
        <v>56</v>
      </c>
      <c r="B57" s="4">
        <v>18</v>
      </c>
      <c r="C57" s="4">
        <v>18</v>
      </c>
      <c r="D57" s="4">
        <v>18</v>
      </c>
      <c r="E57" s="4">
        <v>18</v>
      </c>
      <c r="F57" s="4">
        <v>18</v>
      </c>
      <c r="G57" s="4">
        <v>18</v>
      </c>
      <c r="H57" s="4">
        <v>18</v>
      </c>
      <c r="I57" s="4">
        <v>18</v>
      </c>
      <c r="J57" s="4">
        <v>18</v>
      </c>
      <c r="K57" s="4">
        <v>18</v>
      </c>
      <c r="L57" s="4">
        <v>18</v>
      </c>
      <c r="M57" s="4">
        <v>18</v>
      </c>
      <c r="N57" s="4">
        <v>18</v>
      </c>
      <c r="O57" s="4">
        <v>18</v>
      </c>
      <c r="P57" s="4">
        <v>18</v>
      </c>
      <c r="Q57" s="4">
        <v>18</v>
      </c>
      <c r="R57" s="4">
        <v>18</v>
      </c>
      <c r="S57" s="4">
        <v>18</v>
      </c>
      <c r="T57" s="4">
        <v>18</v>
      </c>
      <c r="U57" s="4">
        <v>18</v>
      </c>
    </row>
    <row r="58" spans="1:21" x14ac:dyDescent="0.25">
      <c r="A58" s="1">
        <v>57</v>
      </c>
      <c r="B58" s="4">
        <v>13</v>
      </c>
      <c r="C58" s="4">
        <v>13</v>
      </c>
      <c r="D58" s="4">
        <v>13</v>
      </c>
      <c r="E58" s="4">
        <v>13</v>
      </c>
      <c r="F58" s="4">
        <v>13</v>
      </c>
      <c r="G58" s="4">
        <v>13</v>
      </c>
      <c r="H58" s="4">
        <v>13</v>
      </c>
      <c r="I58" s="4">
        <v>13</v>
      </c>
      <c r="J58" s="4">
        <v>13</v>
      </c>
      <c r="K58" s="4">
        <v>13</v>
      </c>
      <c r="L58" s="4">
        <v>13</v>
      </c>
      <c r="M58" s="4">
        <v>13</v>
      </c>
      <c r="N58" s="4">
        <v>13</v>
      </c>
      <c r="O58" s="4">
        <v>13</v>
      </c>
      <c r="P58" s="4">
        <v>13</v>
      </c>
      <c r="Q58" s="4">
        <v>13</v>
      </c>
      <c r="R58" s="4">
        <v>13</v>
      </c>
      <c r="S58" s="4">
        <v>13</v>
      </c>
      <c r="T58" s="4">
        <v>13</v>
      </c>
      <c r="U58" s="4">
        <v>13</v>
      </c>
    </row>
    <row r="59" spans="1:21" x14ac:dyDescent="0.25">
      <c r="A59" s="1">
        <v>58</v>
      </c>
      <c r="B59" s="4">
        <v>13</v>
      </c>
      <c r="C59" s="4">
        <v>13</v>
      </c>
      <c r="D59" s="4">
        <v>13</v>
      </c>
      <c r="E59" s="4">
        <v>13</v>
      </c>
      <c r="F59" s="4">
        <v>13</v>
      </c>
      <c r="G59" s="4">
        <v>13</v>
      </c>
      <c r="H59" s="4">
        <v>13</v>
      </c>
      <c r="I59" s="4">
        <v>13</v>
      </c>
      <c r="J59" s="4">
        <v>13</v>
      </c>
      <c r="K59" s="4">
        <v>13</v>
      </c>
      <c r="L59" s="4">
        <v>13</v>
      </c>
      <c r="M59" s="4">
        <v>13</v>
      </c>
      <c r="N59" s="4">
        <v>13</v>
      </c>
      <c r="O59" s="4">
        <v>13</v>
      </c>
      <c r="P59" s="4">
        <v>13</v>
      </c>
      <c r="Q59" s="4">
        <v>13</v>
      </c>
      <c r="R59" s="4">
        <v>13</v>
      </c>
      <c r="S59" s="4">
        <v>13</v>
      </c>
      <c r="T59" s="4">
        <v>13</v>
      </c>
      <c r="U59" s="4">
        <v>13</v>
      </c>
    </row>
    <row r="60" spans="1:21" x14ac:dyDescent="0.25">
      <c r="A60" s="1">
        <v>59</v>
      </c>
      <c r="B60" s="4">
        <v>15</v>
      </c>
      <c r="C60" s="4">
        <v>15</v>
      </c>
      <c r="D60" s="4">
        <v>15</v>
      </c>
      <c r="E60" s="4">
        <v>15</v>
      </c>
      <c r="F60" s="4">
        <v>15</v>
      </c>
      <c r="G60" s="4">
        <v>15</v>
      </c>
      <c r="H60" s="4">
        <v>15</v>
      </c>
      <c r="I60" s="4">
        <v>15</v>
      </c>
      <c r="J60" s="4">
        <v>15</v>
      </c>
      <c r="K60" s="4">
        <v>15</v>
      </c>
      <c r="L60" s="4">
        <v>15</v>
      </c>
      <c r="M60" s="4">
        <v>15</v>
      </c>
      <c r="N60" s="4">
        <v>15</v>
      </c>
      <c r="O60" s="4">
        <v>15</v>
      </c>
      <c r="P60" s="4">
        <v>15</v>
      </c>
      <c r="Q60" s="4">
        <v>15</v>
      </c>
      <c r="R60" s="4">
        <v>15</v>
      </c>
      <c r="S60" s="4">
        <v>15</v>
      </c>
      <c r="T60" s="4">
        <v>15</v>
      </c>
      <c r="U60" s="4">
        <v>15</v>
      </c>
    </row>
    <row r="61" spans="1:21" x14ac:dyDescent="0.25">
      <c r="A61" s="1">
        <v>60</v>
      </c>
      <c r="B61" s="4">
        <v>14</v>
      </c>
      <c r="C61" s="4">
        <v>14</v>
      </c>
      <c r="D61" s="4">
        <v>14</v>
      </c>
      <c r="E61" s="4">
        <v>14</v>
      </c>
      <c r="F61" s="4">
        <v>3</v>
      </c>
      <c r="G61" s="4">
        <v>14</v>
      </c>
      <c r="H61" s="4">
        <v>3</v>
      </c>
      <c r="I61" s="4">
        <v>14</v>
      </c>
      <c r="J61" s="4">
        <v>14</v>
      </c>
      <c r="K61" s="4">
        <v>3</v>
      </c>
      <c r="L61" s="4">
        <v>14</v>
      </c>
      <c r="M61" s="4">
        <v>3</v>
      </c>
      <c r="N61" s="4">
        <v>14</v>
      </c>
      <c r="O61" s="4">
        <v>14</v>
      </c>
      <c r="P61" s="4">
        <v>14</v>
      </c>
      <c r="Q61" s="4">
        <v>14</v>
      </c>
      <c r="R61" s="4">
        <v>3</v>
      </c>
      <c r="S61" s="4">
        <v>14</v>
      </c>
      <c r="T61" s="4">
        <v>14</v>
      </c>
      <c r="U61" s="4">
        <v>14</v>
      </c>
    </row>
    <row r="62" spans="1:21" x14ac:dyDescent="0.25">
      <c r="A62" s="1">
        <v>61</v>
      </c>
      <c r="B62" s="4">
        <v>7</v>
      </c>
      <c r="C62" s="4">
        <v>7</v>
      </c>
      <c r="D62" s="4">
        <v>7</v>
      </c>
      <c r="E62" s="4">
        <v>7</v>
      </c>
      <c r="F62" s="4">
        <v>7</v>
      </c>
      <c r="G62" s="4">
        <v>7</v>
      </c>
      <c r="H62" s="4">
        <v>7</v>
      </c>
      <c r="I62" s="4">
        <v>7</v>
      </c>
      <c r="J62" s="4">
        <v>7</v>
      </c>
      <c r="K62" s="4">
        <v>7</v>
      </c>
      <c r="L62" s="4">
        <v>7</v>
      </c>
      <c r="M62" s="4">
        <v>7</v>
      </c>
      <c r="N62" s="4">
        <v>7</v>
      </c>
      <c r="O62" s="4">
        <v>7</v>
      </c>
      <c r="P62" s="4">
        <v>7</v>
      </c>
      <c r="Q62" s="4">
        <v>7</v>
      </c>
      <c r="R62" s="4">
        <v>7</v>
      </c>
      <c r="S62" s="4">
        <v>7</v>
      </c>
      <c r="T62" s="4">
        <v>7</v>
      </c>
      <c r="U62" s="4">
        <v>7</v>
      </c>
    </row>
    <row r="63" spans="1:21" x14ac:dyDescent="0.25">
      <c r="A63" s="1">
        <v>62</v>
      </c>
      <c r="B63" s="4">
        <v>13</v>
      </c>
      <c r="C63" s="4">
        <v>13</v>
      </c>
      <c r="D63" s="4">
        <v>13</v>
      </c>
      <c r="E63" s="4">
        <v>13</v>
      </c>
      <c r="F63" s="4">
        <v>13</v>
      </c>
      <c r="G63" s="4">
        <v>13</v>
      </c>
      <c r="H63" s="4">
        <v>13</v>
      </c>
      <c r="I63" s="4">
        <v>13</v>
      </c>
      <c r="J63" s="4">
        <v>13</v>
      </c>
      <c r="K63" s="4">
        <v>13</v>
      </c>
      <c r="L63" s="4">
        <v>13</v>
      </c>
      <c r="M63" s="4">
        <v>13</v>
      </c>
      <c r="N63" s="4">
        <v>13</v>
      </c>
      <c r="O63" s="4">
        <v>13</v>
      </c>
      <c r="P63" s="4">
        <v>13</v>
      </c>
      <c r="Q63" s="4">
        <v>13</v>
      </c>
      <c r="R63" s="4">
        <v>13</v>
      </c>
      <c r="S63" s="4">
        <v>13</v>
      </c>
      <c r="T63" s="4">
        <v>13</v>
      </c>
      <c r="U63" s="4">
        <v>13</v>
      </c>
    </row>
    <row r="64" spans="1:21" x14ac:dyDescent="0.25">
      <c r="A64" s="1">
        <v>63</v>
      </c>
      <c r="B64" s="4">
        <v>19</v>
      </c>
      <c r="C64" s="4">
        <v>19</v>
      </c>
      <c r="D64" s="4">
        <v>19</v>
      </c>
      <c r="E64" s="4">
        <v>19</v>
      </c>
      <c r="F64" s="4">
        <v>19</v>
      </c>
      <c r="G64" s="4">
        <v>19</v>
      </c>
      <c r="H64" s="4">
        <v>19</v>
      </c>
      <c r="I64" s="4">
        <v>19</v>
      </c>
      <c r="J64" s="4">
        <v>19</v>
      </c>
      <c r="K64" s="4">
        <v>19</v>
      </c>
      <c r="L64" s="4">
        <v>19</v>
      </c>
      <c r="M64" s="4">
        <v>19</v>
      </c>
      <c r="N64" s="4">
        <v>19</v>
      </c>
      <c r="O64" s="4">
        <v>19</v>
      </c>
      <c r="P64" s="4">
        <v>19</v>
      </c>
      <c r="Q64" s="4">
        <v>19</v>
      </c>
      <c r="R64" s="4">
        <v>19</v>
      </c>
      <c r="S64" s="4">
        <v>19</v>
      </c>
      <c r="T64" s="4">
        <v>19</v>
      </c>
      <c r="U64" s="4">
        <v>19</v>
      </c>
    </row>
    <row r="65" spans="1:21" x14ac:dyDescent="0.25">
      <c r="A65" s="1">
        <v>64</v>
      </c>
      <c r="B65" s="4">
        <v>17</v>
      </c>
      <c r="C65" s="4">
        <v>17</v>
      </c>
      <c r="D65" s="4">
        <v>17</v>
      </c>
      <c r="E65" s="4">
        <v>17</v>
      </c>
      <c r="F65" s="4">
        <v>17</v>
      </c>
      <c r="G65" s="4">
        <v>17</v>
      </c>
      <c r="H65" s="4">
        <v>17</v>
      </c>
      <c r="I65" s="4">
        <v>17</v>
      </c>
      <c r="J65" s="4">
        <v>17</v>
      </c>
      <c r="K65" s="4">
        <v>17</v>
      </c>
      <c r="L65" s="4">
        <v>17</v>
      </c>
      <c r="M65" s="4">
        <v>17</v>
      </c>
      <c r="N65" s="4">
        <v>17</v>
      </c>
      <c r="O65" s="4">
        <v>17</v>
      </c>
      <c r="P65" s="4">
        <v>17</v>
      </c>
      <c r="Q65" s="4">
        <v>17</v>
      </c>
      <c r="R65" s="4">
        <v>17</v>
      </c>
      <c r="S65" s="4">
        <v>17</v>
      </c>
      <c r="T65" s="4">
        <v>17</v>
      </c>
      <c r="U65" s="4">
        <v>17</v>
      </c>
    </row>
    <row r="66" spans="1:21" x14ac:dyDescent="0.25">
      <c r="A66" s="1">
        <v>65</v>
      </c>
      <c r="B66" s="4">
        <v>20</v>
      </c>
      <c r="C66" s="4">
        <v>20</v>
      </c>
      <c r="D66" s="4">
        <v>20</v>
      </c>
      <c r="E66" s="4">
        <v>20</v>
      </c>
      <c r="F66" s="4">
        <v>20</v>
      </c>
      <c r="G66" s="4">
        <v>20</v>
      </c>
      <c r="H66" s="4">
        <v>20</v>
      </c>
      <c r="I66" s="4">
        <v>20</v>
      </c>
      <c r="J66" s="4">
        <v>20</v>
      </c>
      <c r="K66" s="4">
        <v>20</v>
      </c>
      <c r="L66" s="4">
        <v>20</v>
      </c>
      <c r="M66" s="4">
        <v>20</v>
      </c>
      <c r="N66" s="4">
        <v>20</v>
      </c>
      <c r="O66" s="4">
        <v>20</v>
      </c>
      <c r="P66" s="4">
        <v>20</v>
      </c>
      <c r="Q66" s="4">
        <v>20</v>
      </c>
      <c r="R66" s="4">
        <v>20</v>
      </c>
      <c r="S66" s="4">
        <v>20</v>
      </c>
      <c r="T66" s="4">
        <v>20</v>
      </c>
      <c r="U66" s="4">
        <v>20</v>
      </c>
    </row>
    <row r="67" spans="1:21" x14ac:dyDescent="0.25">
      <c r="A67" s="1">
        <v>66</v>
      </c>
      <c r="B67" s="4">
        <v>16</v>
      </c>
      <c r="C67" s="4">
        <v>16</v>
      </c>
      <c r="D67" s="4">
        <v>16</v>
      </c>
      <c r="E67" s="4">
        <v>16</v>
      </c>
      <c r="F67" s="4">
        <v>16</v>
      </c>
      <c r="G67" s="4">
        <v>16</v>
      </c>
      <c r="H67" s="4">
        <v>16</v>
      </c>
      <c r="I67" s="4">
        <v>16</v>
      </c>
      <c r="J67" s="4">
        <v>16</v>
      </c>
      <c r="K67" s="4">
        <v>16</v>
      </c>
      <c r="L67" s="4">
        <v>16</v>
      </c>
      <c r="M67" s="4">
        <v>16</v>
      </c>
      <c r="N67" s="4">
        <v>16</v>
      </c>
      <c r="O67" s="4">
        <v>16</v>
      </c>
      <c r="P67" s="4">
        <v>16</v>
      </c>
      <c r="Q67" s="4">
        <v>16</v>
      </c>
      <c r="R67" s="4">
        <v>16</v>
      </c>
      <c r="S67" s="4">
        <v>16</v>
      </c>
      <c r="T67" s="4">
        <v>16</v>
      </c>
      <c r="U67" s="4">
        <v>16</v>
      </c>
    </row>
    <row r="68" spans="1:21" x14ac:dyDescent="0.25">
      <c r="A68" s="1">
        <v>67</v>
      </c>
      <c r="B68" s="4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</row>
    <row r="69" spans="1:21" x14ac:dyDescent="0.25">
      <c r="A69" s="1">
        <v>68</v>
      </c>
      <c r="B69" s="4">
        <v>19</v>
      </c>
      <c r="C69" s="4">
        <v>19</v>
      </c>
      <c r="D69" s="4">
        <v>19</v>
      </c>
      <c r="E69" s="4">
        <v>19</v>
      </c>
      <c r="F69" s="4">
        <v>19</v>
      </c>
      <c r="G69" s="4">
        <v>19</v>
      </c>
      <c r="H69" s="4">
        <v>19</v>
      </c>
      <c r="I69" s="4">
        <v>19</v>
      </c>
      <c r="J69" s="4">
        <v>19</v>
      </c>
      <c r="K69" s="4">
        <v>19</v>
      </c>
      <c r="L69" s="4">
        <v>19</v>
      </c>
      <c r="M69" s="4">
        <v>19</v>
      </c>
      <c r="N69" s="4">
        <v>19</v>
      </c>
      <c r="O69" s="4">
        <v>19</v>
      </c>
      <c r="P69" s="4">
        <v>19</v>
      </c>
      <c r="Q69" s="4">
        <v>19</v>
      </c>
      <c r="R69" s="4">
        <v>19</v>
      </c>
      <c r="S69" s="4">
        <v>19</v>
      </c>
      <c r="T69" s="4">
        <v>19</v>
      </c>
      <c r="U69" s="4">
        <v>19</v>
      </c>
    </row>
    <row r="70" spans="1:21" x14ac:dyDescent="0.25">
      <c r="A70" s="1">
        <v>69</v>
      </c>
      <c r="B70" s="4">
        <v>14</v>
      </c>
      <c r="C70" s="4">
        <v>14</v>
      </c>
      <c r="D70" s="4">
        <v>14</v>
      </c>
      <c r="E70" s="4">
        <v>14</v>
      </c>
      <c r="F70" s="4">
        <v>14</v>
      </c>
      <c r="G70" s="4">
        <v>14</v>
      </c>
      <c r="H70" s="4">
        <v>3</v>
      </c>
      <c r="I70" s="4">
        <v>14</v>
      </c>
      <c r="J70" s="4">
        <v>14</v>
      </c>
      <c r="K70" s="4">
        <v>3</v>
      </c>
      <c r="L70" s="4">
        <v>14</v>
      </c>
      <c r="M70" s="4">
        <v>3</v>
      </c>
      <c r="N70" s="4">
        <v>14</v>
      </c>
      <c r="O70" s="4">
        <v>3</v>
      </c>
      <c r="P70" s="4">
        <v>14</v>
      </c>
      <c r="Q70" s="4">
        <v>14</v>
      </c>
      <c r="R70" s="4">
        <v>14</v>
      </c>
      <c r="S70" s="4">
        <v>14</v>
      </c>
      <c r="T70" s="4">
        <v>14</v>
      </c>
      <c r="U70" s="4">
        <v>14</v>
      </c>
    </row>
    <row r="71" spans="1:21" x14ac:dyDescent="0.25">
      <c r="A71" s="1">
        <v>70</v>
      </c>
      <c r="B71" s="4">
        <v>2</v>
      </c>
      <c r="C71" s="4">
        <v>2</v>
      </c>
      <c r="D71" s="4">
        <v>2</v>
      </c>
      <c r="E71" s="4">
        <v>2</v>
      </c>
      <c r="F71" s="4">
        <v>2</v>
      </c>
      <c r="G71" s="4">
        <v>2</v>
      </c>
      <c r="H71" s="4">
        <v>2</v>
      </c>
      <c r="I71" s="4">
        <v>2</v>
      </c>
      <c r="J71" s="4">
        <v>2</v>
      </c>
      <c r="K71" s="4">
        <v>2</v>
      </c>
      <c r="L71" s="4">
        <v>2</v>
      </c>
      <c r="M71" s="4">
        <v>2</v>
      </c>
      <c r="N71" s="4">
        <v>2</v>
      </c>
      <c r="O71" s="4">
        <v>2</v>
      </c>
      <c r="P71" s="4">
        <v>2</v>
      </c>
      <c r="Q71" s="4">
        <v>2</v>
      </c>
      <c r="R71" s="4">
        <v>2</v>
      </c>
      <c r="S71" s="4">
        <v>2</v>
      </c>
      <c r="T71" s="4">
        <v>2</v>
      </c>
      <c r="U71" s="4">
        <v>2</v>
      </c>
    </row>
    <row r="72" spans="1:21" x14ac:dyDescent="0.25">
      <c r="A72" s="1">
        <v>71</v>
      </c>
      <c r="B72" s="4">
        <v>2</v>
      </c>
      <c r="C72" s="4">
        <v>2</v>
      </c>
      <c r="D72" s="4">
        <v>2</v>
      </c>
      <c r="E72" s="4">
        <v>2</v>
      </c>
      <c r="F72" s="4">
        <v>2</v>
      </c>
      <c r="G72" s="4">
        <v>2</v>
      </c>
      <c r="H72" s="4">
        <v>2</v>
      </c>
      <c r="I72" s="4">
        <v>2</v>
      </c>
      <c r="J72" s="4">
        <v>2</v>
      </c>
      <c r="K72" s="4">
        <v>2</v>
      </c>
      <c r="L72" s="4">
        <v>2</v>
      </c>
      <c r="M72" s="4">
        <v>2</v>
      </c>
      <c r="N72" s="4">
        <v>2</v>
      </c>
      <c r="O72" s="4">
        <v>2</v>
      </c>
      <c r="P72" s="4">
        <v>2</v>
      </c>
      <c r="Q72" s="4">
        <v>2</v>
      </c>
      <c r="R72" s="4">
        <v>2</v>
      </c>
      <c r="S72" s="4">
        <v>2</v>
      </c>
      <c r="T72" s="4">
        <v>2</v>
      </c>
      <c r="U72" s="4">
        <v>2</v>
      </c>
    </row>
    <row r="73" spans="1:21" x14ac:dyDescent="0.25">
      <c r="A73" s="1">
        <v>72</v>
      </c>
      <c r="B73" s="4">
        <v>3</v>
      </c>
      <c r="C73" s="4">
        <v>3</v>
      </c>
      <c r="D73" s="4">
        <v>3</v>
      </c>
      <c r="E73" s="4">
        <v>3</v>
      </c>
      <c r="F73" s="4">
        <v>3</v>
      </c>
      <c r="G73" s="4">
        <v>3</v>
      </c>
      <c r="H73" s="4">
        <v>3</v>
      </c>
      <c r="I73" s="4">
        <v>3</v>
      </c>
      <c r="J73" s="4">
        <v>3</v>
      </c>
      <c r="K73" s="4">
        <v>3</v>
      </c>
      <c r="L73" s="4">
        <v>3</v>
      </c>
      <c r="M73" s="4">
        <v>3</v>
      </c>
      <c r="N73" s="4">
        <v>3</v>
      </c>
      <c r="O73" s="4">
        <v>3</v>
      </c>
      <c r="P73" s="4">
        <v>3</v>
      </c>
      <c r="Q73" s="4">
        <v>3</v>
      </c>
      <c r="R73" s="4">
        <v>3</v>
      </c>
      <c r="S73" s="4">
        <v>3</v>
      </c>
      <c r="T73" s="4">
        <v>3</v>
      </c>
      <c r="U73" s="4">
        <v>3</v>
      </c>
    </row>
    <row r="74" spans="1:21" x14ac:dyDescent="0.25">
      <c r="A74" s="1">
        <v>73</v>
      </c>
      <c r="B74" s="4">
        <v>12</v>
      </c>
      <c r="C74" s="4">
        <v>12</v>
      </c>
      <c r="D74" s="4">
        <v>12</v>
      </c>
      <c r="E74" s="4">
        <v>12</v>
      </c>
      <c r="F74" s="4">
        <v>12</v>
      </c>
      <c r="G74" s="4">
        <v>12</v>
      </c>
      <c r="H74" s="4">
        <v>12</v>
      </c>
      <c r="I74" s="4">
        <v>12</v>
      </c>
      <c r="J74" s="4">
        <v>12</v>
      </c>
      <c r="K74" s="4">
        <v>12</v>
      </c>
      <c r="L74" s="4">
        <v>12</v>
      </c>
      <c r="M74" s="4">
        <v>12</v>
      </c>
      <c r="N74" s="4">
        <v>12</v>
      </c>
      <c r="O74" s="4">
        <v>12</v>
      </c>
      <c r="P74" s="4">
        <v>12</v>
      </c>
      <c r="Q74" s="4">
        <v>12</v>
      </c>
      <c r="R74" s="4">
        <v>12</v>
      </c>
      <c r="S74" s="4">
        <v>12</v>
      </c>
      <c r="T74" s="4">
        <v>12</v>
      </c>
      <c r="U74" s="4">
        <v>12</v>
      </c>
    </row>
    <row r="75" spans="1:21" x14ac:dyDescent="0.25">
      <c r="A75" s="1">
        <v>74</v>
      </c>
      <c r="B75" s="4">
        <v>10</v>
      </c>
      <c r="C75" s="4">
        <v>10</v>
      </c>
      <c r="D75" s="4">
        <v>10</v>
      </c>
      <c r="E75" s="4">
        <v>10</v>
      </c>
      <c r="F75" s="4">
        <v>10</v>
      </c>
      <c r="G75" s="4">
        <v>10</v>
      </c>
      <c r="H75" s="4">
        <v>10</v>
      </c>
      <c r="I75" s="4">
        <v>10</v>
      </c>
      <c r="J75" s="4">
        <v>10</v>
      </c>
      <c r="K75" s="4">
        <v>10</v>
      </c>
      <c r="L75" s="4">
        <v>10</v>
      </c>
      <c r="M75" s="4">
        <v>10</v>
      </c>
      <c r="N75" s="4">
        <v>10</v>
      </c>
      <c r="O75" s="4">
        <v>10</v>
      </c>
      <c r="P75" s="4">
        <v>10</v>
      </c>
      <c r="Q75" s="4">
        <v>10</v>
      </c>
      <c r="R75" s="4">
        <v>10</v>
      </c>
      <c r="S75" s="4">
        <v>10</v>
      </c>
      <c r="T75" s="4">
        <v>10</v>
      </c>
      <c r="U75" s="4">
        <v>10</v>
      </c>
    </row>
    <row r="76" spans="1:21" x14ac:dyDescent="0.25">
      <c r="A76" s="1">
        <v>75</v>
      </c>
      <c r="B76" s="4">
        <v>19</v>
      </c>
      <c r="C76" s="4">
        <v>19</v>
      </c>
      <c r="D76" s="4">
        <v>19</v>
      </c>
      <c r="E76" s="4">
        <v>19</v>
      </c>
      <c r="F76" s="4">
        <v>19</v>
      </c>
      <c r="G76" s="4">
        <v>19</v>
      </c>
      <c r="H76" s="4">
        <v>19</v>
      </c>
      <c r="I76" s="4">
        <v>19</v>
      </c>
      <c r="J76" s="4">
        <v>19</v>
      </c>
      <c r="K76" s="4">
        <v>19</v>
      </c>
      <c r="L76" s="4">
        <v>19</v>
      </c>
      <c r="M76" s="4">
        <v>19</v>
      </c>
      <c r="N76" s="4">
        <v>19</v>
      </c>
      <c r="O76" s="4">
        <v>19</v>
      </c>
      <c r="P76" s="4">
        <v>19</v>
      </c>
      <c r="Q76" s="4">
        <v>19</v>
      </c>
      <c r="R76" s="4">
        <v>19</v>
      </c>
      <c r="S76" s="4">
        <v>19</v>
      </c>
      <c r="T76" s="4">
        <v>19</v>
      </c>
      <c r="U76" s="4">
        <v>19</v>
      </c>
    </row>
    <row r="77" spans="1:21" x14ac:dyDescent="0.25">
      <c r="A77" s="1">
        <v>76</v>
      </c>
      <c r="B77" s="4">
        <v>12</v>
      </c>
      <c r="C77" s="4">
        <v>12</v>
      </c>
      <c r="D77" s="4">
        <v>12</v>
      </c>
      <c r="E77" s="4">
        <v>12</v>
      </c>
      <c r="F77" s="4">
        <v>12</v>
      </c>
      <c r="G77" s="4">
        <v>12</v>
      </c>
      <c r="H77" s="4">
        <v>12</v>
      </c>
      <c r="I77" s="4">
        <v>12</v>
      </c>
      <c r="J77" s="4">
        <v>12</v>
      </c>
      <c r="K77" s="4">
        <v>12</v>
      </c>
      <c r="L77" s="4">
        <v>12</v>
      </c>
      <c r="M77" s="4">
        <v>12</v>
      </c>
      <c r="N77" s="4">
        <v>12</v>
      </c>
      <c r="O77" s="4">
        <v>12</v>
      </c>
      <c r="P77" s="4">
        <v>12</v>
      </c>
      <c r="Q77" s="4">
        <v>12</v>
      </c>
      <c r="R77" s="4">
        <v>12</v>
      </c>
      <c r="S77" s="4">
        <v>12</v>
      </c>
      <c r="T77" s="4">
        <v>12</v>
      </c>
      <c r="U77" s="4">
        <v>12</v>
      </c>
    </row>
    <row r="78" spans="1:21" x14ac:dyDescent="0.25">
      <c r="A78" s="1">
        <v>77</v>
      </c>
      <c r="B78" s="4">
        <v>8</v>
      </c>
      <c r="C78" s="4">
        <v>8</v>
      </c>
      <c r="D78" s="4">
        <v>8</v>
      </c>
      <c r="E78" s="4">
        <v>8</v>
      </c>
      <c r="F78" s="4">
        <v>8</v>
      </c>
      <c r="G78" s="4">
        <v>8</v>
      </c>
      <c r="H78" s="4">
        <v>8</v>
      </c>
      <c r="I78" s="4">
        <v>8</v>
      </c>
      <c r="J78" s="4">
        <v>8</v>
      </c>
      <c r="K78" s="4">
        <v>8</v>
      </c>
      <c r="L78" s="4">
        <v>8</v>
      </c>
      <c r="M78" s="4">
        <v>8</v>
      </c>
      <c r="N78" s="4">
        <v>8</v>
      </c>
      <c r="O78" s="4">
        <v>8</v>
      </c>
      <c r="P78" s="4">
        <v>8</v>
      </c>
      <c r="Q78" s="4">
        <v>8</v>
      </c>
      <c r="R78" s="4">
        <v>8</v>
      </c>
      <c r="S78" s="4">
        <v>8</v>
      </c>
      <c r="T78" s="4">
        <v>8</v>
      </c>
      <c r="U78" s="4">
        <v>8</v>
      </c>
    </row>
    <row r="79" spans="1:21" x14ac:dyDescent="0.25">
      <c r="A79" s="1">
        <v>78</v>
      </c>
      <c r="B79" s="4">
        <v>8</v>
      </c>
      <c r="C79" s="4">
        <v>8</v>
      </c>
      <c r="D79" s="4">
        <v>8</v>
      </c>
      <c r="E79" s="4">
        <v>8</v>
      </c>
      <c r="F79" s="4">
        <v>8</v>
      </c>
      <c r="G79" s="4">
        <v>8</v>
      </c>
      <c r="H79" s="4">
        <v>8</v>
      </c>
      <c r="I79" s="4">
        <v>8</v>
      </c>
      <c r="J79" s="4">
        <v>8</v>
      </c>
      <c r="K79" s="4">
        <v>8</v>
      </c>
      <c r="L79" s="4">
        <v>8</v>
      </c>
      <c r="M79" s="4">
        <v>8</v>
      </c>
      <c r="N79" s="4">
        <v>8</v>
      </c>
      <c r="O79" s="4">
        <v>8</v>
      </c>
      <c r="P79" s="4">
        <v>8</v>
      </c>
      <c r="Q79" s="4">
        <v>8</v>
      </c>
      <c r="R79" s="4">
        <v>8</v>
      </c>
      <c r="S79" s="4">
        <v>8</v>
      </c>
      <c r="T79" s="4">
        <v>8</v>
      </c>
      <c r="U79" s="4">
        <v>8</v>
      </c>
    </row>
    <row r="80" spans="1:21" x14ac:dyDescent="0.25">
      <c r="A80" s="1">
        <v>79</v>
      </c>
      <c r="B80" s="4">
        <v>15</v>
      </c>
      <c r="C80" s="4">
        <v>15</v>
      </c>
      <c r="D80" s="4">
        <v>15</v>
      </c>
      <c r="E80" s="4">
        <v>15</v>
      </c>
      <c r="F80" s="4">
        <v>15</v>
      </c>
      <c r="G80" s="4">
        <v>15</v>
      </c>
      <c r="H80" s="4">
        <v>15</v>
      </c>
      <c r="I80" s="4">
        <v>15</v>
      </c>
      <c r="J80" s="4">
        <v>15</v>
      </c>
      <c r="K80" s="4">
        <v>15</v>
      </c>
      <c r="L80" s="4">
        <v>15</v>
      </c>
      <c r="M80" s="4">
        <v>15</v>
      </c>
      <c r="N80" s="4">
        <v>15</v>
      </c>
      <c r="O80" s="4">
        <v>15</v>
      </c>
      <c r="P80" s="4">
        <v>15</v>
      </c>
      <c r="Q80" s="4">
        <v>15</v>
      </c>
      <c r="R80" s="4">
        <v>15</v>
      </c>
      <c r="S80" s="4">
        <v>15</v>
      </c>
      <c r="T80" s="4">
        <v>15</v>
      </c>
      <c r="U80" s="4">
        <v>15</v>
      </c>
    </row>
    <row r="81" spans="1:21" x14ac:dyDescent="0.25">
      <c r="A81" s="1">
        <v>80</v>
      </c>
      <c r="B81" s="4">
        <v>18</v>
      </c>
      <c r="C81" s="4">
        <v>18</v>
      </c>
      <c r="D81" s="4">
        <v>18</v>
      </c>
      <c r="E81" s="4">
        <v>18</v>
      </c>
      <c r="F81" s="4">
        <v>18</v>
      </c>
      <c r="G81" s="4">
        <v>18</v>
      </c>
      <c r="H81" s="4">
        <v>18</v>
      </c>
      <c r="I81" s="4">
        <v>18</v>
      </c>
      <c r="J81" s="4">
        <v>18</v>
      </c>
      <c r="K81" s="4">
        <v>18</v>
      </c>
      <c r="L81" s="4">
        <v>18</v>
      </c>
      <c r="M81" s="4">
        <v>18</v>
      </c>
      <c r="N81" s="4">
        <v>18</v>
      </c>
      <c r="O81" s="4">
        <v>18</v>
      </c>
      <c r="P81" s="4">
        <v>18</v>
      </c>
      <c r="Q81" s="4">
        <v>18</v>
      </c>
      <c r="R81" s="4">
        <v>18</v>
      </c>
      <c r="S81" s="4">
        <v>18</v>
      </c>
      <c r="T81" s="4">
        <v>18</v>
      </c>
      <c r="U81" s="4">
        <v>18</v>
      </c>
    </row>
    <row r="82" spans="1:21" x14ac:dyDescent="0.25">
      <c r="A82" s="1">
        <v>81</v>
      </c>
      <c r="B82" s="4">
        <v>20</v>
      </c>
      <c r="C82" s="4">
        <v>20</v>
      </c>
      <c r="D82" s="4">
        <v>20</v>
      </c>
      <c r="E82" s="4">
        <v>20</v>
      </c>
      <c r="F82" s="4">
        <v>20</v>
      </c>
      <c r="G82" s="4">
        <v>20</v>
      </c>
      <c r="H82" s="4">
        <v>20</v>
      </c>
      <c r="I82" s="4">
        <v>20</v>
      </c>
      <c r="J82" s="4">
        <v>20</v>
      </c>
      <c r="K82" s="4">
        <v>20</v>
      </c>
      <c r="L82" s="4">
        <v>20</v>
      </c>
      <c r="M82" s="4">
        <v>20</v>
      </c>
      <c r="N82" s="4">
        <v>20</v>
      </c>
      <c r="O82" s="4">
        <v>20</v>
      </c>
      <c r="P82" s="4">
        <v>20</v>
      </c>
      <c r="Q82" s="4">
        <v>20</v>
      </c>
      <c r="R82" s="4">
        <v>20</v>
      </c>
      <c r="S82" s="4">
        <v>20</v>
      </c>
      <c r="T82" s="4">
        <v>20</v>
      </c>
      <c r="U82" s="4">
        <v>20</v>
      </c>
    </row>
    <row r="83" spans="1:21" x14ac:dyDescent="0.25">
      <c r="A83" s="1">
        <v>82</v>
      </c>
      <c r="B83" s="4">
        <v>8</v>
      </c>
      <c r="C83" s="4">
        <v>8</v>
      </c>
      <c r="D83" s="4">
        <v>8</v>
      </c>
      <c r="E83" s="4">
        <v>8</v>
      </c>
      <c r="F83" s="4">
        <v>8</v>
      </c>
      <c r="G83" s="4">
        <v>8</v>
      </c>
      <c r="H83" s="4">
        <v>8</v>
      </c>
      <c r="I83" s="4">
        <v>8</v>
      </c>
      <c r="J83" s="4">
        <v>8</v>
      </c>
      <c r="K83" s="4">
        <v>8</v>
      </c>
      <c r="L83" s="4">
        <v>8</v>
      </c>
      <c r="M83" s="4">
        <v>8</v>
      </c>
      <c r="N83" s="4">
        <v>8</v>
      </c>
      <c r="O83" s="4">
        <v>8</v>
      </c>
      <c r="P83" s="4">
        <v>8</v>
      </c>
      <c r="Q83" s="4">
        <v>8</v>
      </c>
      <c r="R83" s="4">
        <v>8</v>
      </c>
      <c r="S83" s="4">
        <v>8</v>
      </c>
      <c r="T83" s="4">
        <v>8</v>
      </c>
      <c r="U83" s="4">
        <v>8</v>
      </c>
    </row>
    <row r="84" spans="1:21" x14ac:dyDescent="0.25">
      <c r="A84" s="1">
        <v>83</v>
      </c>
      <c r="B84" s="4">
        <v>17</v>
      </c>
      <c r="C84" s="4">
        <v>17</v>
      </c>
      <c r="D84" s="4">
        <v>17</v>
      </c>
      <c r="E84" s="4">
        <v>17</v>
      </c>
      <c r="F84" s="4">
        <v>17</v>
      </c>
      <c r="G84" s="4">
        <v>17</v>
      </c>
      <c r="H84" s="4">
        <v>17</v>
      </c>
      <c r="I84" s="4">
        <v>17</v>
      </c>
      <c r="J84" s="4">
        <v>17</v>
      </c>
      <c r="K84" s="4">
        <v>17</v>
      </c>
      <c r="L84" s="4">
        <v>17</v>
      </c>
      <c r="M84" s="4">
        <v>17</v>
      </c>
      <c r="N84" s="4">
        <v>17</v>
      </c>
      <c r="O84" s="4">
        <v>17</v>
      </c>
      <c r="P84" s="4">
        <v>17</v>
      </c>
      <c r="Q84" s="4">
        <v>17</v>
      </c>
      <c r="R84" s="4">
        <v>17</v>
      </c>
      <c r="S84" s="4">
        <v>17</v>
      </c>
      <c r="T84" s="4">
        <v>17</v>
      </c>
      <c r="U84" s="4">
        <v>17</v>
      </c>
    </row>
    <row r="85" spans="1:21" x14ac:dyDescent="0.25">
      <c r="A85" s="1">
        <v>84</v>
      </c>
      <c r="B85" s="4">
        <v>15</v>
      </c>
      <c r="C85" s="4">
        <v>15</v>
      </c>
      <c r="D85" s="4">
        <v>15</v>
      </c>
      <c r="E85" s="4">
        <v>15</v>
      </c>
      <c r="F85" s="4">
        <v>15</v>
      </c>
      <c r="G85" s="4">
        <v>15</v>
      </c>
      <c r="H85" s="4">
        <v>15</v>
      </c>
      <c r="I85" s="4">
        <v>15</v>
      </c>
      <c r="J85" s="4">
        <v>15</v>
      </c>
      <c r="K85" s="4">
        <v>15</v>
      </c>
      <c r="L85" s="4">
        <v>15</v>
      </c>
      <c r="M85" s="4">
        <v>15</v>
      </c>
      <c r="N85" s="4">
        <v>15</v>
      </c>
      <c r="O85" s="4">
        <v>15</v>
      </c>
      <c r="P85" s="4">
        <v>15</v>
      </c>
      <c r="Q85" s="4">
        <v>15</v>
      </c>
      <c r="R85" s="4">
        <v>15</v>
      </c>
      <c r="S85" s="4">
        <v>15</v>
      </c>
      <c r="T85" s="4">
        <v>15</v>
      </c>
      <c r="U85" s="4">
        <v>15</v>
      </c>
    </row>
    <row r="86" spans="1:21" x14ac:dyDescent="0.25">
      <c r="A86" s="1">
        <v>85</v>
      </c>
      <c r="B86" s="4">
        <v>18</v>
      </c>
      <c r="C86" s="4">
        <v>18</v>
      </c>
      <c r="D86" s="4">
        <v>18</v>
      </c>
      <c r="E86" s="4">
        <v>18</v>
      </c>
      <c r="F86" s="4">
        <v>18</v>
      </c>
      <c r="G86" s="4">
        <v>18</v>
      </c>
      <c r="H86" s="4">
        <v>18</v>
      </c>
      <c r="I86" s="4">
        <v>18</v>
      </c>
      <c r="J86" s="4">
        <v>18</v>
      </c>
      <c r="K86" s="4">
        <v>18</v>
      </c>
      <c r="L86" s="4">
        <v>18</v>
      </c>
      <c r="M86" s="4">
        <v>18</v>
      </c>
      <c r="N86" s="4">
        <v>18</v>
      </c>
      <c r="O86" s="4">
        <v>18</v>
      </c>
      <c r="P86" s="4">
        <v>18</v>
      </c>
      <c r="Q86" s="4">
        <v>18</v>
      </c>
      <c r="R86" s="4">
        <v>18</v>
      </c>
      <c r="S86" s="4">
        <v>18</v>
      </c>
      <c r="T86" s="4">
        <v>18</v>
      </c>
      <c r="U86" s="4">
        <v>18</v>
      </c>
    </row>
    <row r="87" spans="1:21" x14ac:dyDescent="0.25">
      <c r="A87" s="1">
        <v>86</v>
      </c>
      <c r="B87" s="4">
        <v>17</v>
      </c>
      <c r="C87" s="4">
        <v>17</v>
      </c>
      <c r="D87" s="4">
        <v>17</v>
      </c>
      <c r="E87" s="4">
        <v>17</v>
      </c>
      <c r="F87" s="4">
        <v>17</v>
      </c>
      <c r="G87" s="4">
        <v>17</v>
      </c>
      <c r="H87" s="4">
        <v>17</v>
      </c>
      <c r="I87" s="4">
        <v>17</v>
      </c>
      <c r="J87" s="4">
        <v>17</v>
      </c>
      <c r="K87" s="4">
        <v>17</v>
      </c>
      <c r="L87" s="4">
        <v>17</v>
      </c>
      <c r="M87" s="4">
        <v>17</v>
      </c>
      <c r="N87" s="4">
        <v>17</v>
      </c>
      <c r="O87" s="4">
        <v>17</v>
      </c>
      <c r="P87" s="4">
        <v>17</v>
      </c>
      <c r="Q87" s="4">
        <v>17</v>
      </c>
      <c r="R87" s="4">
        <v>17</v>
      </c>
      <c r="S87" s="4">
        <v>17</v>
      </c>
      <c r="T87" s="4">
        <v>17</v>
      </c>
      <c r="U87" s="4">
        <v>17</v>
      </c>
    </row>
    <row r="88" spans="1:21" x14ac:dyDescent="0.25">
      <c r="A88" s="1">
        <v>87</v>
      </c>
      <c r="B88" s="4">
        <v>11</v>
      </c>
      <c r="C88" s="4">
        <v>11</v>
      </c>
      <c r="D88" s="4">
        <v>11</v>
      </c>
      <c r="E88" s="4">
        <v>11</v>
      </c>
      <c r="F88" s="4">
        <v>11</v>
      </c>
      <c r="G88" s="4">
        <v>11</v>
      </c>
      <c r="H88" s="4">
        <v>11</v>
      </c>
      <c r="I88" s="4">
        <v>11</v>
      </c>
      <c r="J88" s="4">
        <v>11</v>
      </c>
      <c r="K88" s="4">
        <v>11</v>
      </c>
      <c r="L88" s="4">
        <v>11</v>
      </c>
      <c r="M88" s="4">
        <v>11</v>
      </c>
      <c r="N88" s="4">
        <v>11</v>
      </c>
      <c r="O88" s="4">
        <v>11</v>
      </c>
      <c r="P88" s="4">
        <v>11</v>
      </c>
      <c r="Q88" s="4">
        <v>11</v>
      </c>
      <c r="R88" s="4">
        <v>11</v>
      </c>
      <c r="S88" s="4">
        <v>11</v>
      </c>
      <c r="T88" s="4">
        <v>11</v>
      </c>
      <c r="U88" s="4">
        <v>11</v>
      </c>
    </row>
    <row r="89" spans="1:21" x14ac:dyDescent="0.25">
      <c r="A89" s="1">
        <v>88</v>
      </c>
      <c r="B89" s="4">
        <v>18</v>
      </c>
      <c r="C89" s="4">
        <v>18</v>
      </c>
      <c r="D89" s="4">
        <v>18</v>
      </c>
      <c r="E89" s="4">
        <v>18</v>
      </c>
      <c r="F89" s="4">
        <v>18</v>
      </c>
      <c r="G89" s="4">
        <v>18</v>
      </c>
      <c r="H89" s="4">
        <v>18</v>
      </c>
      <c r="I89" s="4">
        <v>18</v>
      </c>
      <c r="J89" s="4">
        <v>18</v>
      </c>
      <c r="K89" s="4">
        <v>18</v>
      </c>
      <c r="L89" s="4">
        <v>18</v>
      </c>
      <c r="M89" s="4">
        <v>18</v>
      </c>
      <c r="N89" s="4">
        <v>18</v>
      </c>
      <c r="O89" s="4">
        <v>18</v>
      </c>
      <c r="P89" s="4">
        <v>18</v>
      </c>
      <c r="Q89" s="4">
        <v>18</v>
      </c>
      <c r="R89" s="4">
        <v>18</v>
      </c>
      <c r="S89" s="4">
        <v>18</v>
      </c>
      <c r="T89" s="4">
        <v>18</v>
      </c>
      <c r="U89" s="4">
        <v>18</v>
      </c>
    </row>
    <row r="90" spans="1:21" x14ac:dyDescent="0.25">
      <c r="A90" s="1">
        <v>89</v>
      </c>
      <c r="B90" s="4">
        <v>18</v>
      </c>
      <c r="C90" s="4">
        <v>18</v>
      </c>
      <c r="D90" s="4">
        <v>18</v>
      </c>
      <c r="E90" s="4">
        <v>18</v>
      </c>
      <c r="F90" s="4">
        <v>18</v>
      </c>
      <c r="G90" s="4">
        <v>18</v>
      </c>
      <c r="H90" s="4">
        <v>18</v>
      </c>
      <c r="I90" s="4">
        <v>18</v>
      </c>
      <c r="J90" s="4">
        <v>18</v>
      </c>
      <c r="K90" s="4">
        <v>18</v>
      </c>
      <c r="L90" s="4">
        <v>18</v>
      </c>
      <c r="M90" s="4">
        <v>18</v>
      </c>
      <c r="N90" s="4">
        <v>18</v>
      </c>
      <c r="O90" s="4">
        <v>18</v>
      </c>
      <c r="P90" s="4">
        <v>18</v>
      </c>
      <c r="Q90" s="4">
        <v>18</v>
      </c>
      <c r="R90" s="4">
        <v>18</v>
      </c>
      <c r="S90" s="4">
        <v>18</v>
      </c>
      <c r="T90" s="4">
        <v>18</v>
      </c>
      <c r="U90" s="4">
        <v>18</v>
      </c>
    </row>
    <row r="91" spans="1:21" x14ac:dyDescent="0.25">
      <c r="A91" s="1">
        <v>90</v>
      </c>
      <c r="B91" s="4">
        <v>19</v>
      </c>
      <c r="C91" s="4">
        <v>19</v>
      </c>
      <c r="D91" s="4">
        <v>19</v>
      </c>
      <c r="E91" s="4">
        <v>19</v>
      </c>
      <c r="F91" s="4">
        <v>19</v>
      </c>
      <c r="G91" s="4">
        <v>19</v>
      </c>
      <c r="H91" s="4">
        <v>19</v>
      </c>
      <c r="I91" s="4">
        <v>19</v>
      </c>
      <c r="J91" s="4">
        <v>19</v>
      </c>
      <c r="K91" s="4">
        <v>19</v>
      </c>
      <c r="L91" s="4">
        <v>19</v>
      </c>
      <c r="M91" s="4">
        <v>19</v>
      </c>
      <c r="N91" s="4">
        <v>19</v>
      </c>
      <c r="O91" s="4">
        <v>19</v>
      </c>
      <c r="P91" s="4">
        <v>19</v>
      </c>
      <c r="Q91" s="4">
        <v>19</v>
      </c>
      <c r="R91" s="4">
        <v>19</v>
      </c>
      <c r="S91" s="4">
        <v>19</v>
      </c>
      <c r="T91" s="4">
        <v>19</v>
      </c>
      <c r="U91" s="4">
        <v>19</v>
      </c>
    </row>
    <row r="92" spans="1:21" x14ac:dyDescent="0.25">
      <c r="A92" s="1">
        <v>91</v>
      </c>
      <c r="B92" s="4">
        <v>9</v>
      </c>
      <c r="C92" s="4">
        <v>9</v>
      </c>
      <c r="D92" s="4">
        <v>9</v>
      </c>
      <c r="E92" s="4">
        <v>9</v>
      </c>
      <c r="F92" s="4">
        <v>9</v>
      </c>
      <c r="G92" s="4">
        <v>9</v>
      </c>
      <c r="H92" s="4">
        <v>9</v>
      </c>
      <c r="I92" s="4">
        <v>9</v>
      </c>
      <c r="J92" s="4">
        <v>9</v>
      </c>
      <c r="K92" s="4">
        <v>9</v>
      </c>
      <c r="L92" s="4">
        <v>9</v>
      </c>
      <c r="M92" s="4">
        <v>9</v>
      </c>
      <c r="N92" s="4">
        <v>9</v>
      </c>
      <c r="O92" s="4">
        <v>9</v>
      </c>
      <c r="P92" s="4">
        <v>9</v>
      </c>
      <c r="Q92" s="4">
        <v>9</v>
      </c>
      <c r="R92" s="4">
        <v>9</v>
      </c>
      <c r="S92" s="4">
        <v>9</v>
      </c>
      <c r="T92" s="4">
        <v>9</v>
      </c>
      <c r="U92" s="4">
        <v>9</v>
      </c>
    </row>
    <row r="93" spans="1:21" x14ac:dyDescent="0.25">
      <c r="A93" s="1">
        <v>92</v>
      </c>
      <c r="B93" s="4">
        <v>3</v>
      </c>
      <c r="C93" s="4">
        <v>3</v>
      </c>
      <c r="D93" s="4">
        <v>3</v>
      </c>
      <c r="E93" s="4">
        <v>3</v>
      </c>
      <c r="F93" s="4">
        <v>3</v>
      </c>
      <c r="G93" s="4">
        <v>3</v>
      </c>
      <c r="H93" s="4">
        <v>3</v>
      </c>
      <c r="I93" s="4">
        <v>3</v>
      </c>
      <c r="J93" s="4">
        <v>3</v>
      </c>
      <c r="K93" s="4">
        <v>3</v>
      </c>
      <c r="L93" s="4">
        <v>3</v>
      </c>
      <c r="M93" s="4">
        <v>3</v>
      </c>
      <c r="N93" s="4">
        <v>3</v>
      </c>
      <c r="O93" s="4">
        <v>3</v>
      </c>
      <c r="P93" s="4">
        <v>3</v>
      </c>
      <c r="Q93" s="4">
        <v>3</v>
      </c>
      <c r="R93" s="4">
        <v>3</v>
      </c>
      <c r="S93" s="4">
        <v>3</v>
      </c>
      <c r="T93" s="4">
        <v>3</v>
      </c>
      <c r="U93" s="4">
        <v>3</v>
      </c>
    </row>
    <row r="94" spans="1:21" x14ac:dyDescent="0.25">
      <c r="A94" s="1">
        <v>93</v>
      </c>
      <c r="B94" s="4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</row>
    <row r="95" spans="1:21" x14ac:dyDescent="0.25">
      <c r="A95" s="1">
        <v>94</v>
      </c>
      <c r="B95" s="4">
        <v>16</v>
      </c>
      <c r="C95" s="4">
        <v>16</v>
      </c>
      <c r="D95" s="4">
        <v>16</v>
      </c>
      <c r="E95" s="4">
        <v>16</v>
      </c>
      <c r="F95" s="4">
        <v>16</v>
      </c>
      <c r="G95" s="4">
        <v>16</v>
      </c>
      <c r="H95" s="4">
        <v>16</v>
      </c>
      <c r="I95" s="4">
        <v>16</v>
      </c>
      <c r="J95" s="4">
        <v>16</v>
      </c>
      <c r="K95" s="4">
        <v>16</v>
      </c>
      <c r="L95" s="4">
        <v>16</v>
      </c>
      <c r="M95" s="4">
        <v>16</v>
      </c>
      <c r="N95" s="4">
        <v>16</v>
      </c>
      <c r="O95" s="4">
        <v>16</v>
      </c>
      <c r="P95" s="4">
        <v>16</v>
      </c>
      <c r="Q95" s="4">
        <v>16</v>
      </c>
      <c r="R95" s="4">
        <v>16</v>
      </c>
      <c r="S95" s="4">
        <v>16</v>
      </c>
      <c r="T95" s="4">
        <v>16</v>
      </c>
      <c r="U95" s="4">
        <v>16</v>
      </c>
    </row>
    <row r="96" spans="1:21" x14ac:dyDescent="0.25">
      <c r="A96" s="1">
        <v>95</v>
      </c>
      <c r="B96" s="4">
        <v>17</v>
      </c>
      <c r="C96" s="4">
        <v>17</v>
      </c>
      <c r="D96" s="4">
        <v>17</v>
      </c>
      <c r="E96" s="4">
        <v>17</v>
      </c>
      <c r="F96" s="4">
        <v>17</v>
      </c>
      <c r="G96" s="4">
        <v>17</v>
      </c>
      <c r="H96" s="4">
        <v>17</v>
      </c>
      <c r="I96" s="4">
        <v>17</v>
      </c>
      <c r="J96" s="4">
        <v>17</v>
      </c>
      <c r="K96" s="4">
        <v>17</v>
      </c>
      <c r="L96" s="4">
        <v>17</v>
      </c>
      <c r="M96" s="4">
        <v>17</v>
      </c>
      <c r="N96" s="4">
        <v>17</v>
      </c>
      <c r="O96" s="4">
        <v>17</v>
      </c>
      <c r="P96" s="4">
        <v>17</v>
      </c>
      <c r="Q96" s="4">
        <v>17</v>
      </c>
      <c r="R96" s="4">
        <v>17</v>
      </c>
      <c r="S96" s="4">
        <v>17</v>
      </c>
      <c r="T96" s="4">
        <v>17</v>
      </c>
      <c r="U96" s="4">
        <v>17</v>
      </c>
    </row>
    <row r="97" spans="1:21" x14ac:dyDescent="0.25">
      <c r="A97" s="1">
        <v>96</v>
      </c>
      <c r="B97" s="4">
        <v>20</v>
      </c>
      <c r="C97" s="4">
        <v>20</v>
      </c>
      <c r="D97" s="4">
        <v>20</v>
      </c>
      <c r="E97" s="4">
        <v>20</v>
      </c>
      <c r="F97" s="4">
        <v>20</v>
      </c>
      <c r="G97" s="4">
        <v>20</v>
      </c>
      <c r="H97" s="4">
        <v>20</v>
      </c>
      <c r="I97" s="4">
        <v>20</v>
      </c>
      <c r="J97" s="4">
        <v>20</v>
      </c>
      <c r="K97" s="4">
        <v>20</v>
      </c>
      <c r="L97" s="4">
        <v>20</v>
      </c>
      <c r="M97" s="4">
        <v>20</v>
      </c>
      <c r="N97" s="4">
        <v>20</v>
      </c>
      <c r="O97" s="4">
        <v>20</v>
      </c>
      <c r="P97" s="4">
        <v>20</v>
      </c>
      <c r="Q97" s="4">
        <v>20</v>
      </c>
      <c r="R97" s="4">
        <v>20</v>
      </c>
      <c r="S97" s="4">
        <v>20</v>
      </c>
      <c r="T97" s="4">
        <v>20</v>
      </c>
      <c r="U97" s="4">
        <v>20</v>
      </c>
    </row>
    <row r="98" spans="1:21" x14ac:dyDescent="0.25">
      <c r="A98" s="1">
        <v>97</v>
      </c>
      <c r="B98" s="4">
        <v>7</v>
      </c>
      <c r="C98" s="4">
        <v>7</v>
      </c>
      <c r="D98" s="4">
        <v>7</v>
      </c>
      <c r="E98" s="4">
        <v>7</v>
      </c>
      <c r="F98" s="4">
        <v>7</v>
      </c>
      <c r="G98" s="4">
        <v>7</v>
      </c>
      <c r="H98" s="4">
        <v>7</v>
      </c>
      <c r="I98" s="4">
        <v>7</v>
      </c>
      <c r="J98" s="4">
        <v>7</v>
      </c>
      <c r="K98" s="4">
        <v>7</v>
      </c>
      <c r="L98" s="4">
        <v>7</v>
      </c>
      <c r="M98" s="4">
        <v>7</v>
      </c>
      <c r="N98" s="4">
        <v>7</v>
      </c>
      <c r="O98" s="4">
        <v>7</v>
      </c>
      <c r="P98" s="4">
        <v>7</v>
      </c>
      <c r="Q98" s="4">
        <v>7</v>
      </c>
      <c r="R98" s="4">
        <v>7</v>
      </c>
      <c r="S98" s="4">
        <v>7</v>
      </c>
      <c r="T98" s="4">
        <v>7</v>
      </c>
      <c r="U98" s="4">
        <v>7</v>
      </c>
    </row>
    <row r="99" spans="1:21" x14ac:dyDescent="0.25">
      <c r="A99" s="1">
        <v>98</v>
      </c>
      <c r="B99" s="4">
        <v>15</v>
      </c>
      <c r="C99" s="4">
        <v>15</v>
      </c>
      <c r="D99" s="4">
        <v>15</v>
      </c>
      <c r="E99" s="4">
        <v>15</v>
      </c>
      <c r="F99" s="4">
        <v>15</v>
      </c>
      <c r="G99" s="4">
        <v>15</v>
      </c>
      <c r="H99" s="4">
        <v>15</v>
      </c>
      <c r="I99" s="4">
        <v>15</v>
      </c>
      <c r="J99" s="4">
        <v>15</v>
      </c>
      <c r="K99" s="4">
        <v>15</v>
      </c>
      <c r="L99" s="4">
        <v>15</v>
      </c>
      <c r="M99" s="4">
        <v>15</v>
      </c>
      <c r="N99" s="4">
        <v>15</v>
      </c>
      <c r="O99" s="4">
        <v>15</v>
      </c>
      <c r="P99" s="4">
        <v>15</v>
      </c>
      <c r="Q99" s="4">
        <v>15</v>
      </c>
      <c r="R99" s="4">
        <v>15</v>
      </c>
      <c r="S99" s="4">
        <v>15</v>
      </c>
      <c r="T99" s="4">
        <v>15</v>
      </c>
      <c r="U99" s="4">
        <v>15</v>
      </c>
    </row>
    <row r="100" spans="1:21" x14ac:dyDescent="0.25">
      <c r="A100" s="1">
        <v>99</v>
      </c>
      <c r="B100" s="4">
        <v>10</v>
      </c>
      <c r="C100" s="4">
        <v>10</v>
      </c>
      <c r="D100" s="4">
        <v>10</v>
      </c>
      <c r="E100" s="4">
        <v>10</v>
      </c>
      <c r="F100" s="4">
        <v>10</v>
      </c>
      <c r="G100" s="4">
        <v>10</v>
      </c>
      <c r="H100" s="4">
        <v>10</v>
      </c>
      <c r="I100" s="4">
        <v>10</v>
      </c>
      <c r="J100" s="4">
        <v>10</v>
      </c>
      <c r="K100" s="4">
        <v>10</v>
      </c>
      <c r="L100" s="4">
        <v>10</v>
      </c>
      <c r="M100" s="4">
        <v>10</v>
      </c>
      <c r="N100" s="4">
        <v>10</v>
      </c>
      <c r="O100" s="4">
        <v>10</v>
      </c>
      <c r="P100" s="4">
        <v>10</v>
      </c>
      <c r="Q100" s="4">
        <v>10</v>
      </c>
      <c r="R100" s="4">
        <v>10</v>
      </c>
      <c r="S100" s="4">
        <v>10</v>
      </c>
      <c r="T100" s="4">
        <v>10</v>
      </c>
      <c r="U100" s="4">
        <v>10</v>
      </c>
    </row>
    <row r="101" spans="1:21" x14ac:dyDescent="0.25">
      <c r="A101" s="1">
        <v>100</v>
      </c>
      <c r="B101" s="4">
        <v>17</v>
      </c>
      <c r="C101" s="4">
        <v>17</v>
      </c>
      <c r="D101" s="4">
        <v>17</v>
      </c>
      <c r="E101" s="4">
        <v>17</v>
      </c>
      <c r="F101" s="4">
        <v>17</v>
      </c>
      <c r="G101" s="4">
        <v>17</v>
      </c>
      <c r="H101" s="4">
        <v>17</v>
      </c>
      <c r="I101" s="4">
        <v>17</v>
      </c>
      <c r="J101" s="4">
        <v>17</v>
      </c>
      <c r="K101" s="4">
        <v>17</v>
      </c>
      <c r="L101" s="4">
        <v>17</v>
      </c>
      <c r="M101" s="4">
        <v>17</v>
      </c>
      <c r="N101" s="4">
        <v>17</v>
      </c>
      <c r="O101" s="4">
        <v>17</v>
      </c>
      <c r="P101" s="4">
        <v>17</v>
      </c>
      <c r="Q101" s="4">
        <v>17</v>
      </c>
      <c r="R101" s="4">
        <v>17</v>
      </c>
      <c r="S101" s="4">
        <v>17</v>
      </c>
      <c r="T101" s="4">
        <v>17</v>
      </c>
      <c r="U101" s="4">
        <v>17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D795-3C08-40AB-BA72-266E4BE8B522}">
  <dimension ref="A1:V103"/>
  <sheetViews>
    <sheetView topLeftCell="A94" workbookViewId="0">
      <selection activeCell="D107" sqref="D107"/>
    </sheetView>
  </sheetViews>
  <sheetFormatPr baseColWidth="10" defaultRowHeight="15" x14ac:dyDescent="0.25"/>
  <cols>
    <col min="2" max="2" width="17.7109375" customWidth="1"/>
    <col min="3" max="22" width="12.7109375" customWidth="1"/>
  </cols>
  <sheetData>
    <row r="1" spans="1:22" x14ac:dyDescent="0.25">
      <c r="A1" s="1"/>
      <c r="B1" s="1"/>
      <c r="C1" s="1" cm="1">
        <f t="array" ref="C1:V2">TRANSPOSE(Catégories!A2:B21)</f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 s="3" customFormat="1" x14ac:dyDescent="0.25">
      <c r="A2" s="2" t="s">
        <v>143</v>
      </c>
      <c r="B2" s="2" t="s">
        <v>144</v>
      </c>
      <c r="C2" s="2" t="str">
        <v>Catégorie 1</v>
      </c>
      <c r="D2" s="2" t="str">
        <v>Catégorie 2</v>
      </c>
      <c r="E2" s="2" t="str">
        <v>Catégorie 3</v>
      </c>
      <c r="F2" s="2" t="str">
        <v>Catégorie 4</v>
      </c>
      <c r="G2" s="2" t="str">
        <v>Catégorie 5</v>
      </c>
      <c r="H2" s="2" t="str">
        <v>Catégorie 6</v>
      </c>
      <c r="I2" s="2" t="str">
        <v>Catégorie 7</v>
      </c>
      <c r="J2" s="2" t="str">
        <v>Catégorie 8</v>
      </c>
      <c r="K2" s="2" t="str">
        <v>Catégorie 9</v>
      </c>
      <c r="L2" s="2" t="str">
        <v>Catégorie 10</v>
      </c>
      <c r="M2" s="2" t="str">
        <v>Catégorie 11</v>
      </c>
      <c r="N2" s="2" t="str">
        <v>Catégorie 12</v>
      </c>
      <c r="O2" s="2" t="str">
        <v>Catégorie 13</v>
      </c>
      <c r="P2" s="2" t="str">
        <v>Catégorie 14</v>
      </c>
      <c r="Q2" s="2" t="str">
        <v>Catégorie 15</v>
      </c>
      <c r="R2" s="2" t="str">
        <v>Catégorie 16</v>
      </c>
      <c r="S2" s="2" t="str">
        <v>Catégorie 17</v>
      </c>
      <c r="T2" s="2" t="str">
        <v>Catégorie 18</v>
      </c>
      <c r="U2" s="2" t="str">
        <v>Catégorie 19</v>
      </c>
      <c r="V2" s="2" t="str">
        <v>Catégorie 20</v>
      </c>
    </row>
    <row r="3" spans="1:22" x14ac:dyDescent="0.25">
      <c r="A3" s="1" cm="1">
        <f t="array" ref="A3:A102">Cartes!A2:A101</f>
        <v>1</v>
      </c>
      <c r="B3" s="1">
        <f>INDEX(Cartes!$C$2:$C$101,MATCH($A3,Cartes!$A$2:$A$101,0))</f>
        <v>14</v>
      </c>
      <c r="C3" s="5"/>
      <c r="D3" s="5">
        <f>COUNTIF(Réponses!$B2:$U2,"="&amp;D$1)/$B$103</f>
        <v>0.1</v>
      </c>
      <c r="E3" s="5">
        <f>COUNTIF(Réponses!$B2:$U2,"="&amp;E$1)/$B$103</f>
        <v>0.25</v>
      </c>
      <c r="F3" s="5">
        <f>COUNTIF(Réponses!$B2:$U2,"="&amp;F$1)/$B$103</f>
        <v>0</v>
      </c>
      <c r="G3" s="5">
        <f>COUNTIF(Réponses!$B2:$U2,"="&amp;G$1)/$B$103</f>
        <v>0</v>
      </c>
      <c r="H3" s="5">
        <f>COUNTIF(Réponses!$B2:$U2,"="&amp;H$1)/$B$103</f>
        <v>0</v>
      </c>
      <c r="I3" s="5">
        <f>COUNTIF(Réponses!$B2:$U2,"="&amp;I$1)/$B$103</f>
        <v>0</v>
      </c>
      <c r="J3" s="5">
        <f>COUNTIF(Réponses!$B2:$U2,"="&amp;J$1)/$B$103</f>
        <v>0</v>
      </c>
      <c r="K3" s="5">
        <f>COUNTIF(Réponses!$B2:$U2,"="&amp;K$1)/$B$103</f>
        <v>0</v>
      </c>
      <c r="L3" s="5">
        <f>COUNTIF(Réponses!$B2:$U2,"="&amp;L$1)/$B$103</f>
        <v>0</v>
      </c>
      <c r="M3" s="5">
        <f>COUNTIF(Réponses!$B2:$U2,"="&amp;M$1)/$B$103</f>
        <v>0.15</v>
      </c>
      <c r="N3" s="5">
        <f>COUNTIF(Réponses!$B2:$U2,"="&amp;N$1)/$B$103</f>
        <v>0</v>
      </c>
      <c r="O3" s="5">
        <f>COUNTIF(Réponses!$B2:$U2,"="&amp;O$1)/$B$103</f>
        <v>0</v>
      </c>
      <c r="P3" s="5">
        <f>COUNTIF(Réponses!$B2:$U2,"="&amp;P$1)/$B$103</f>
        <v>0.5</v>
      </c>
      <c r="Q3" s="5">
        <f>COUNTIF(Réponses!$B2:$U2,"="&amp;Q$1)/$B$103</f>
        <v>0</v>
      </c>
      <c r="R3" s="5">
        <f>COUNTIF(Réponses!$B2:$U2,"="&amp;R$1)/$B$103</f>
        <v>0</v>
      </c>
      <c r="S3" s="5">
        <f>COUNTIF(Réponses!$B2:$U2,"="&amp;S$1)/$B$103</f>
        <v>0</v>
      </c>
      <c r="T3" s="5">
        <f>COUNTIF(Réponses!$B2:$U2,"="&amp;T$1)/$B$103</f>
        <v>0</v>
      </c>
      <c r="U3" s="5">
        <f>COUNTIF(Réponses!$B2:$U2,"="&amp;U$1)/$B$103</f>
        <v>0</v>
      </c>
      <c r="V3" s="5">
        <f>COUNTIF(Réponses!$B2:$U2,"="&amp;V$1)/$B$103</f>
        <v>0</v>
      </c>
    </row>
    <row r="4" spans="1:22" x14ac:dyDescent="0.25">
      <c r="A4" s="1">
        <v>2</v>
      </c>
      <c r="B4" s="1">
        <f>INDEX(Cartes!$C$2:$C$101,MATCH($A4,Cartes!$A$2:$A$101,0))</f>
        <v>8</v>
      </c>
      <c r="C4" s="5">
        <f>COUNTIF(Réponses!$B3:$U3,"="&amp;C$1)/$B$103</f>
        <v>0</v>
      </c>
      <c r="D4" s="5">
        <f>COUNTIF(Réponses!$B3:$U3,"="&amp;D$1)/$B$103</f>
        <v>0.05</v>
      </c>
      <c r="E4" s="5">
        <f>COUNTIF(Réponses!$B3:$U3,"="&amp;E$1)/$B$103</f>
        <v>0.1</v>
      </c>
      <c r="F4" s="5">
        <f>COUNTIF(Réponses!$B3:$U3,"="&amp;F$1)/$B$103</f>
        <v>0</v>
      </c>
      <c r="G4" s="5">
        <f>COUNTIF(Réponses!$B3:$U3,"="&amp;G$1)/$B$103</f>
        <v>0</v>
      </c>
      <c r="H4" s="5">
        <f>COUNTIF(Réponses!$B3:$U3,"="&amp;H$1)/$B$103</f>
        <v>0</v>
      </c>
      <c r="I4" s="5">
        <f>COUNTIF(Réponses!$B3:$U3,"="&amp;I$1)/$B$103</f>
        <v>0</v>
      </c>
      <c r="J4" s="5">
        <f>COUNTIF(Réponses!$B3:$U3,"="&amp;J$1)/$B$103</f>
        <v>0.2</v>
      </c>
      <c r="K4" s="5">
        <f>COUNTIF(Réponses!$B3:$U3,"="&amp;K$1)/$B$103</f>
        <v>0.65</v>
      </c>
      <c r="L4" s="5">
        <f>COUNTIF(Réponses!$B3:$U3,"="&amp;L$1)/$B$103</f>
        <v>0</v>
      </c>
      <c r="M4" s="5">
        <f>COUNTIF(Réponses!$B3:$U3,"="&amp;M$1)/$B$103</f>
        <v>0</v>
      </c>
      <c r="N4" s="5">
        <f>COUNTIF(Réponses!$B3:$U3,"="&amp;N$1)/$B$103</f>
        <v>0</v>
      </c>
      <c r="O4" s="5">
        <f>COUNTIF(Réponses!$B3:$U3,"="&amp;O$1)/$B$103</f>
        <v>0</v>
      </c>
      <c r="P4" s="5">
        <f>COUNTIF(Réponses!$B3:$U3,"="&amp;P$1)/$B$103</f>
        <v>0</v>
      </c>
      <c r="Q4" s="5">
        <f>COUNTIF(Réponses!$B3:$U3,"="&amp;Q$1)/$B$103</f>
        <v>0</v>
      </c>
      <c r="R4" s="5">
        <f>COUNTIF(Réponses!$B3:$U3,"="&amp;R$1)/$B$103</f>
        <v>0</v>
      </c>
      <c r="S4" s="5">
        <f>COUNTIF(Réponses!$B3:$U3,"="&amp;S$1)/$B$103</f>
        <v>0</v>
      </c>
      <c r="T4" s="5">
        <f>COUNTIF(Réponses!$B3:$U3,"="&amp;T$1)/$B$103</f>
        <v>0</v>
      </c>
      <c r="U4" s="5">
        <f>COUNTIF(Réponses!$B3:$U3,"="&amp;U$1)/$B$103</f>
        <v>0</v>
      </c>
      <c r="V4" s="5">
        <f>COUNTIF(Réponses!$B3:$U3,"="&amp;V$1)/$B$103</f>
        <v>0</v>
      </c>
    </row>
    <row r="5" spans="1:22" x14ac:dyDescent="0.25">
      <c r="A5" s="1">
        <v>3</v>
      </c>
      <c r="B5" s="1">
        <f>INDEX(Cartes!$C$2:$C$101,MATCH($A5,Cartes!$A$2:$A$101,0))</f>
        <v>19</v>
      </c>
      <c r="C5" s="5">
        <f>COUNTIF(Réponses!$B4:$U4,"="&amp;C$1)/$B$103</f>
        <v>0</v>
      </c>
      <c r="D5" s="5">
        <f>COUNTIF(Réponses!$B4:$U4,"="&amp;D$1)/$B$103</f>
        <v>0</v>
      </c>
      <c r="E5" s="5">
        <f>COUNTIF(Réponses!$B4:$U4,"="&amp;E$1)/$B$103</f>
        <v>0.05</v>
      </c>
      <c r="F5" s="5">
        <f>COUNTIF(Réponses!$B4:$U4,"="&amp;F$1)/$B$103</f>
        <v>0</v>
      </c>
      <c r="G5" s="5">
        <f>COUNTIF(Réponses!$B4:$U4,"="&amp;G$1)/$B$103</f>
        <v>0</v>
      </c>
      <c r="H5" s="5">
        <f>COUNTIF(Réponses!$B4:$U4,"="&amp;H$1)/$B$103</f>
        <v>0</v>
      </c>
      <c r="I5" s="5">
        <f>COUNTIF(Réponses!$B4:$U4,"="&amp;I$1)/$B$103</f>
        <v>0</v>
      </c>
      <c r="J5" s="5">
        <f>COUNTIF(Réponses!$B4:$U4,"="&amp;J$1)/$B$103</f>
        <v>0</v>
      </c>
      <c r="K5" s="5">
        <f>COUNTIF(Réponses!$B4:$U4,"="&amp;K$1)/$B$103</f>
        <v>0</v>
      </c>
      <c r="L5" s="5">
        <f>COUNTIF(Réponses!$B4:$U4,"="&amp;L$1)/$B$103</f>
        <v>0</v>
      </c>
      <c r="M5" s="5">
        <f>COUNTIF(Réponses!$B4:$U4,"="&amp;M$1)/$B$103</f>
        <v>0</v>
      </c>
      <c r="N5" s="5">
        <f>COUNTIF(Réponses!$B4:$U4,"="&amp;N$1)/$B$103</f>
        <v>0</v>
      </c>
      <c r="O5" s="5">
        <f>COUNTIF(Réponses!$B4:$U4,"="&amp;O$1)/$B$103</f>
        <v>0</v>
      </c>
      <c r="P5" s="5">
        <f>COUNTIF(Réponses!$B4:$U4,"="&amp;P$1)/$B$103</f>
        <v>0</v>
      </c>
      <c r="Q5" s="5">
        <f>COUNTIF(Réponses!$B4:$U4,"="&amp;Q$1)/$B$103</f>
        <v>0</v>
      </c>
      <c r="R5" s="5">
        <f>COUNTIF(Réponses!$B4:$U4,"="&amp;R$1)/$B$103</f>
        <v>0</v>
      </c>
      <c r="S5" s="5">
        <f>COUNTIF(Réponses!$B4:$U4,"="&amp;S$1)/$B$103</f>
        <v>0</v>
      </c>
      <c r="T5" s="5">
        <f>COUNTIF(Réponses!$B4:$U4,"="&amp;T$1)/$B$103</f>
        <v>0</v>
      </c>
      <c r="U5" s="5">
        <f>COUNTIF(Réponses!$B4:$U4,"="&amp;U$1)/$B$103</f>
        <v>0.95</v>
      </c>
      <c r="V5" s="5">
        <f>COUNTIF(Réponses!$B4:$U4,"="&amp;V$1)/$B$103</f>
        <v>0</v>
      </c>
    </row>
    <row r="6" spans="1:22" x14ac:dyDescent="0.25">
      <c r="A6" s="1">
        <v>4</v>
      </c>
      <c r="B6" s="1">
        <f>INDEX(Cartes!$C$2:$C$101,MATCH($A6,Cartes!$A$2:$A$101,0))</f>
        <v>18</v>
      </c>
      <c r="C6" s="5">
        <f>COUNTIF(Réponses!$B5:$U5,"="&amp;C$1)/$B$103</f>
        <v>0</v>
      </c>
      <c r="D6" s="5">
        <f>COUNTIF(Réponses!$B5:$U5,"="&amp;D$1)/$B$103</f>
        <v>0</v>
      </c>
      <c r="E6" s="5">
        <f>COUNTIF(Réponses!$B5:$U5,"="&amp;E$1)/$B$103</f>
        <v>0</v>
      </c>
      <c r="F6" s="5">
        <f>COUNTIF(Réponses!$B5:$U5,"="&amp;F$1)/$B$103</f>
        <v>0</v>
      </c>
      <c r="G6" s="5">
        <f>COUNTIF(Réponses!$B5:$U5,"="&amp;G$1)/$B$103</f>
        <v>0</v>
      </c>
      <c r="H6" s="5">
        <f>COUNTIF(Réponses!$B5:$U5,"="&amp;H$1)/$B$103</f>
        <v>0</v>
      </c>
      <c r="I6" s="5">
        <f>COUNTIF(Réponses!$B5:$U5,"="&amp;I$1)/$B$103</f>
        <v>0</v>
      </c>
      <c r="J6" s="5">
        <f>COUNTIF(Réponses!$B5:$U5,"="&amp;J$1)/$B$103</f>
        <v>0</v>
      </c>
      <c r="K6" s="5">
        <f>COUNTIF(Réponses!$B5:$U5,"="&amp;K$1)/$B$103</f>
        <v>0</v>
      </c>
      <c r="L6" s="5">
        <f>COUNTIF(Réponses!$B5:$U5,"="&amp;L$1)/$B$103</f>
        <v>0</v>
      </c>
      <c r="M6" s="5">
        <f>COUNTIF(Réponses!$B5:$U5,"="&amp;M$1)/$B$103</f>
        <v>0</v>
      </c>
      <c r="N6" s="5">
        <f>COUNTIF(Réponses!$B5:$U5,"="&amp;N$1)/$B$103</f>
        <v>0</v>
      </c>
      <c r="O6" s="5">
        <f>COUNTIF(Réponses!$B5:$U5,"="&amp;O$1)/$B$103</f>
        <v>0</v>
      </c>
      <c r="P6" s="5">
        <f>COUNTIF(Réponses!$B5:$U5,"="&amp;P$1)/$B$103</f>
        <v>0</v>
      </c>
      <c r="Q6" s="5">
        <f>COUNTIF(Réponses!$B5:$U5,"="&amp;Q$1)/$B$103</f>
        <v>0</v>
      </c>
      <c r="R6" s="5">
        <f>COUNTIF(Réponses!$B5:$U5,"="&amp;R$1)/$B$103</f>
        <v>0</v>
      </c>
      <c r="S6" s="5">
        <f>COUNTIF(Réponses!$B5:$U5,"="&amp;S$1)/$B$103</f>
        <v>0</v>
      </c>
      <c r="T6" s="5">
        <f>COUNTIF(Réponses!$B5:$U5,"="&amp;T$1)/$B$103</f>
        <v>1</v>
      </c>
      <c r="U6" s="5">
        <f>COUNTIF(Réponses!$B5:$U5,"="&amp;U$1)/$B$103</f>
        <v>0</v>
      </c>
      <c r="V6" s="5">
        <f>COUNTIF(Réponses!$B5:$U5,"="&amp;V$1)/$B$103</f>
        <v>0</v>
      </c>
    </row>
    <row r="7" spans="1:22" x14ac:dyDescent="0.25">
      <c r="A7" s="1">
        <v>5</v>
      </c>
      <c r="B7" s="1">
        <f>INDEX(Cartes!$C$2:$C$101,MATCH($A7,Cartes!$A$2:$A$101,0))</f>
        <v>9</v>
      </c>
      <c r="C7" s="5">
        <f>COUNTIF(Réponses!$B6:$U6,"="&amp;C$1)/$B$103</f>
        <v>0</v>
      </c>
      <c r="D7" s="5">
        <f>COUNTIF(Réponses!$B6:$U6,"="&amp;D$1)/$B$103</f>
        <v>0</v>
      </c>
      <c r="E7" s="5">
        <f>COUNTIF(Réponses!$B6:$U6,"="&amp;E$1)/$B$103</f>
        <v>0</v>
      </c>
      <c r="F7" s="5">
        <f>COUNTIF(Réponses!$B6:$U6,"="&amp;F$1)/$B$103</f>
        <v>0</v>
      </c>
      <c r="G7" s="5">
        <f>COUNTIF(Réponses!$B6:$U6,"="&amp;G$1)/$B$103</f>
        <v>0</v>
      </c>
      <c r="H7" s="5">
        <f>COUNTIF(Réponses!$B6:$U6,"="&amp;H$1)/$B$103</f>
        <v>0</v>
      </c>
      <c r="I7" s="5">
        <f>COUNTIF(Réponses!$B6:$U6,"="&amp;I$1)/$B$103</f>
        <v>0</v>
      </c>
      <c r="J7" s="5">
        <f>COUNTIF(Réponses!$B6:$U6,"="&amp;J$1)/$B$103</f>
        <v>0</v>
      </c>
      <c r="K7" s="5">
        <f>COUNTIF(Réponses!$B6:$U6,"="&amp;K$1)/$B$103</f>
        <v>1</v>
      </c>
      <c r="L7" s="5">
        <f>COUNTIF(Réponses!$B6:$U6,"="&amp;L$1)/$B$103</f>
        <v>0</v>
      </c>
      <c r="M7" s="5">
        <f>COUNTIF(Réponses!$B6:$U6,"="&amp;M$1)/$B$103</f>
        <v>0</v>
      </c>
      <c r="N7" s="5">
        <f>COUNTIF(Réponses!$B6:$U6,"="&amp;N$1)/$B$103</f>
        <v>0</v>
      </c>
      <c r="O7" s="5">
        <f>COUNTIF(Réponses!$B6:$U6,"="&amp;O$1)/$B$103</f>
        <v>0</v>
      </c>
      <c r="P7" s="5">
        <f>COUNTIF(Réponses!$B6:$U6,"="&amp;P$1)/$B$103</f>
        <v>0</v>
      </c>
      <c r="Q7" s="5">
        <f>COUNTIF(Réponses!$B6:$U6,"="&amp;Q$1)/$B$103</f>
        <v>0</v>
      </c>
      <c r="R7" s="5">
        <f>COUNTIF(Réponses!$B6:$U6,"="&amp;R$1)/$B$103</f>
        <v>0</v>
      </c>
      <c r="S7" s="5">
        <f>COUNTIF(Réponses!$B6:$U6,"="&amp;S$1)/$B$103</f>
        <v>0</v>
      </c>
      <c r="T7" s="5">
        <f>COUNTIF(Réponses!$B6:$U6,"="&amp;T$1)/$B$103</f>
        <v>0</v>
      </c>
      <c r="U7" s="5">
        <f>COUNTIF(Réponses!$B6:$U6,"="&amp;U$1)/$B$103</f>
        <v>0</v>
      </c>
      <c r="V7" s="5">
        <f>COUNTIF(Réponses!$B6:$U6,"="&amp;V$1)/$B$103</f>
        <v>0</v>
      </c>
    </row>
    <row r="8" spans="1:22" x14ac:dyDescent="0.25">
      <c r="A8" s="1">
        <v>6</v>
      </c>
      <c r="B8" s="1">
        <f>INDEX(Cartes!$C$2:$C$101,MATCH($A8,Cartes!$A$2:$A$101,0))</f>
        <v>1</v>
      </c>
      <c r="C8" s="5">
        <f>COUNTIF(Réponses!$B7:$U7,"="&amp;C$1)/$B$103</f>
        <v>1</v>
      </c>
      <c r="D8" s="5">
        <f>COUNTIF(Réponses!$B7:$U7,"="&amp;D$1)/$B$103</f>
        <v>0</v>
      </c>
      <c r="E8" s="5">
        <f>COUNTIF(Réponses!$B7:$U7,"="&amp;E$1)/$B$103</f>
        <v>0</v>
      </c>
      <c r="F8" s="5">
        <f>COUNTIF(Réponses!$B7:$U7,"="&amp;F$1)/$B$103</f>
        <v>0</v>
      </c>
      <c r="G8" s="5">
        <f>COUNTIF(Réponses!$B7:$U7,"="&amp;G$1)/$B$103</f>
        <v>0</v>
      </c>
      <c r="H8" s="5">
        <f>COUNTIF(Réponses!$B7:$U7,"="&amp;H$1)/$B$103</f>
        <v>0</v>
      </c>
      <c r="I8" s="5">
        <f>COUNTIF(Réponses!$B7:$U7,"="&amp;I$1)/$B$103</f>
        <v>0</v>
      </c>
      <c r="J8" s="5">
        <f>COUNTIF(Réponses!$B7:$U7,"="&amp;J$1)/$B$103</f>
        <v>0</v>
      </c>
      <c r="K8" s="5">
        <f>COUNTIF(Réponses!$B7:$U7,"="&amp;K$1)/$B$103</f>
        <v>0</v>
      </c>
      <c r="L8" s="5">
        <f>COUNTIF(Réponses!$B7:$U7,"="&amp;L$1)/$B$103</f>
        <v>0</v>
      </c>
      <c r="M8" s="5">
        <f>COUNTIF(Réponses!$B7:$U7,"="&amp;M$1)/$B$103</f>
        <v>0</v>
      </c>
      <c r="N8" s="5">
        <f>COUNTIF(Réponses!$B7:$U7,"="&amp;N$1)/$B$103</f>
        <v>0</v>
      </c>
      <c r="O8" s="5">
        <f>COUNTIF(Réponses!$B7:$U7,"="&amp;O$1)/$B$103</f>
        <v>0</v>
      </c>
      <c r="P8" s="5">
        <f>COUNTIF(Réponses!$B7:$U7,"="&amp;P$1)/$B$103</f>
        <v>0</v>
      </c>
      <c r="Q8" s="5">
        <f>COUNTIF(Réponses!$B7:$U7,"="&amp;Q$1)/$B$103</f>
        <v>0</v>
      </c>
      <c r="R8" s="5">
        <f>COUNTIF(Réponses!$B7:$U7,"="&amp;R$1)/$B$103</f>
        <v>0</v>
      </c>
      <c r="S8" s="5">
        <f>COUNTIF(Réponses!$B7:$U7,"="&amp;S$1)/$B$103</f>
        <v>0</v>
      </c>
      <c r="T8" s="5">
        <f>COUNTIF(Réponses!$B7:$U7,"="&amp;T$1)/$B$103</f>
        <v>0</v>
      </c>
      <c r="U8" s="5">
        <f>COUNTIF(Réponses!$B7:$U7,"="&amp;U$1)/$B$103</f>
        <v>0</v>
      </c>
      <c r="V8" s="5">
        <f>COUNTIF(Réponses!$B7:$U7,"="&amp;V$1)/$B$103</f>
        <v>0</v>
      </c>
    </row>
    <row r="9" spans="1:22" x14ac:dyDescent="0.25">
      <c r="A9" s="1">
        <v>7</v>
      </c>
      <c r="B9" s="1">
        <f>INDEX(Cartes!$C$2:$C$101,MATCH($A9,Cartes!$A$2:$A$101,0))</f>
        <v>15</v>
      </c>
      <c r="C9" s="5">
        <f>COUNTIF(Réponses!$B8:$U8,"="&amp;C$1)/$B$103</f>
        <v>0</v>
      </c>
      <c r="D9" s="5">
        <f>COUNTIF(Réponses!$B8:$U8,"="&amp;D$1)/$B$103</f>
        <v>0</v>
      </c>
      <c r="E9" s="5">
        <f>COUNTIF(Réponses!$B8:$U8,"="&amp;E$1)/$B$103</f>
        <v>0</v>
      </c>
      <c r="F9" s="5">
        <f>COUNTIF(Réponses!$B8:$U8,"="&amp;F$1)/$B$103</f>
        <v>0</v>
      </c>
      <c r="G9" s="5">
        <f>COUNTIF(Réponses!$B8:$U8,"="&amp;G$1)/$B$103</f>
        <v>0</v>
      </c>
      <c r="H9" s="5">
        <f>COUNTIF(Réponses!$B8:$U8,"="&amp;H$1)/$B$103</f>
        <v>0</v>
      </c>
      <c r="I9" s="5">
        <f>COUNTIF(Réponses!$B8:$U8,"="&amp;I$1)/$B$103</f>
        <v>0</v>
      </c>
      <c r="J9" s="5">
        <f>COUNTIF(Réponses!$B8:$U8,"="&amp;J$1)/$B$103</f>
        <v>0</v>
      </c>
      <c r="K9" s="5">
        <f>COUNTIF(Réponses!$B8:$U8,"="&amp;K$1)/$B$103</f>
        <v>0</v>
      </c>
      <c r="L9" s="5">
        <f>COUNTIF(Réponses!$B8:$U8,"="&amp;L$1)/$B$103</f>
        <v>0</v>
      </c>
      <c r="M9" s="5">
        <f>COUNTIF(Réponses!$B8:$U8,"="&amp;M$1)/$B$103</f>
        <v>0</v>
      </c>
      <c r="N9" s="5">
        <f>COUNTIF(Réponses!$B8:$U8,"="&amp;N$1)/$B$103</f>
        <v>0</v>
      </c>
      <c r="O9" s="5">
        <f>COUNTIF(Réponses!$B8:$U8,"="&amp;O$1)/$B$103</f>
        <v>0</v>
      </c>
      <c r="P9" s="5">
        <f>COUNTIF(Réponses!$B8:$U8,"="&amp;P$1)/$B$103</f>
        <v>0</v>
      </c>
      <c r="Q9" s="5">
        <f>COUNTIF(Réponses!$B8:$U8,"="&amp;Q$1)/$B$103</f>
        <v>1</v>
      </c>
      <c r="R9" s="5">
        <f>COUNTIF(Réponses!$B8:$U8,"="&amp;R$1)/$B$103</f>
        <v>0</v>
      </c>
      <c r="S9" s="5">
        <f>COUNTIF(Réponses!$B8:$U8,"="&amp;S$1)/$B$103</f>
        <v>0</v>
      </c>
      <c r="T9" s="5">
        <f>COUNTIF(Réponses!$B8:$U8,"="&amp;T$1)/$B$103</f>
        <v>0</v>
      </c>
      <c r="U9" s="5">
        <f>COUNTIF(Réponses!$B8:$U8,"="&amp;U$1)/$B$103</f>
        <v>0</v>
      </c>
      <c r="V9" s="5">
        <f>COUNTIF(Réponses!$B8:$U8,"="&amp;V$1)/$B$103</f>
        <v>0</v>
      </c>
    </row>
    <row r="10" spans="1:22" x14ac:dyDescent="0.25">
      <c r="A10" s="1">
        <v>8</v>
      </c>
      <c r="B10" s="1">
        <f>INDEX(Cartes!$C$2:$C$101,MATCH($A10,Cartes!$A$2:$A$101,0))</f>
        <v>2</v>
      </c>
      <c r="C10" s="5">
        <f>COUNTIF(Réponses!$B9:$U9,"="&amp;C$1)/$B$103</f>
        <v>0</v>
      </c>
      <c r="D10" s="5">
        <f>COUNTIF(Réponses!$B9:$U9,"="&amp;D$1)/$B$103</f>
        <v>1</v>
      </c>
      <c r="E10" s="5">
        <f>COUNTIF(Réponses!$B9:$U9,"="&amp;E$1)/$B$103</f>
        <v>0</v>
      </c>
      <c r="F10" s="5">
        <f>COUNTIF(Réponses!$B9:$U9,"="&amp;F$1)/$B$103</f>
        <v>0</v>
      </c>
      <c r="G10" s="5">
        <f>COUNTIF(Réponses!$B9:$U9,"="&amp;G$1)/$B$103</f>
        <v>0</v>
      </c>
      <c r="H10" s="5">
        <f>COUNTIF(Réponses!$B9:$U9,"="&amp;H$1)/$B$103</f>
        <v>0</v>
      </c>
      <c r="I10" s="5">
        <f>COUNTIF(Réponses!$B9:$U9,"="&amp;I$1)/$B$103</f>
        <v>0</v>
      </c>
      <c r="J10" s="5">
        <f>COUNTIF(Réponses!$B9:$U9,"="&amp;J$1)/$B$103</f>
        <v>0</v>
      </c>
      <c r="K10" s="5">
        <f>COUNTIF(Réponses!$B9:$U9,"="&amp;K$1)/$B$103</f>
        <v>0</v>
      </c>
      <c r="L10" s="5">
        <f>COUNTIF(Réponses!$B9:$U9,"="&amp;L$1)/$B$103</f>
        <v>0</v>
      </c>
      <c r="M10" s="5">
        <f>COUNTIF(Réponses!$B9:$U9,"="&amp;M$1)/$B$103</f>
        <v>0</v>
      </c>
      <c r="N10" s="5">
        <f>COUNTIF(Réponses!$B9:$U9,"="&amp;N$1)/$B$103</f>
        <v>0</v>
      </c>
      <c r="O10" s="5">
        <f>COUNTIF(Réponses!$B9:$U9,"="&amp;O$1)/$B$103</f>
        <v>0</v>
      </c>
      <c r="P10" s="5">
        <f>COUNTIF(Réponses!$B9:$U9,"="&amp;P$1)/$B$103</f>
        <v>0</v>
      </c>
      <c r="Q10" s="5">
        <f>COUNTIF(Réponses!$B9:$U9,"="&amp;Q$1)/$B$103</f>
        <v>0</v>
      </c>
      <c r="R10" s="5">
        <f>COUNTIF(Réponses!$B9:$U9,"="&amp;R$1)/$B$103</f>
        <v>0</v>
      </c>
      <c r="S10" s="5">
        <f>COUNTIF(Réponses!$B9:$U9,"="&amp;S$1)/$B$103</f>
        <v>0</v>
      </c>
      <c r="T10" s="5">
        <f>COUNTIF(Réponses!$B9:$U9,"="&amp;T$1)/$B$103</f>
        <v>0</v>
      </c>
      <c r="U10" s="5">
        <f>COUNTIF(Réponses!$B9:$U9,"="&amp;U$1)/$B$103</f>
        <v>0</v>
      </c>
      <c r="V10" s="5">
        <f>COUNTIF(Réponses!$B9:$U9,"="&amp;V$1)/$B$103</f>
        <v>0</v>
      </c>
    </row>
    <row r="11" spans="1:22" x14ac:dyDescent="0.25">
      <c r="A11" s="1">
        <v>9</v>
      </c>
      <c r="B11" s="1">
        <f>INDEX(Cartes!$C$2:$C$101,MATCH($A11,Cartes!$A$2:$A$101,0))</f>
        <v>7</v>
      </c>
      <c r="C11" s="5">
        <f>COUNTIF(Réponses!$B10:$U10,"="&amp;C$1)/$B$103</f>
        <v>0</v>
      </c>
      <c r="D11" s="5">
        <f>COUNTIF(Réponses!$B10:$U10,"="&amp;D$1)/$B$103</f>
        <v>0</v>
      </c>
      <c r="E11" s="5">
        <f>COUNTIF(Réponses!$B10:$U10,"="&amp;E$1)/$B$103</f>
        <v>0</v>
      </c>
      <c r="F11" s="5">
        <f>COUNTIF(Réponses!$B10:$U10,"="&amp;F$1)/$B$103</f>
        <v>0</v>
      </c>
      <c r="G11" s="5">
        <f>COUNTIF(Réponses!$B10:$U10,"="&amp;G$1)/$B$103</f>
        <v>0</v>
      </c>
      <c r="H11" s="5">
        <f>COUNTIF(Réponses!$B10:$U10,"="&amp;H$1)/$B$103</f>
        <v>0</v>
      </c>
      <c r="I11" s="5">
        <f>COUNTIF(Réponses!$B10:$U10,"="&amp;I$1)/$B$103</f>
        <v>1</v>
      </c>
      <c r="J11" s="5">
        <f>COUNTIF(Réponses!$B10:$U10,"="&amp;J$1)/$B$103</f>
        <v>0</v>
      </c>
      <c r="K11" s="5">
        <f>COUNTIF(Réponses!$B10:$U10,"="&amp;K$1)/$B$103</f>
        <v>0</v>
      </c>
      <c r="L11" s="5">
        <f>COUNTIF(Réponses!$B10:$U10,"="&amp;L$1)/$B$103</f>
        <v>0</v>
      </c>
      <c r="M11" s="5">
        <f>COUNTIF(Réponses!$B10:$U10,"="&amp;M$1)/$B$103</f>
        <v>0</v>
      </c>
      <c r="N11" s="5">
        <f>COUNTIF(Réponses!$B10:$U10,"="&amp;N$1)/$B$103</f>
        <v>0</v>
      </c>
      <c r="O11" s="5">
        <f>COUNTIF(Réponses!$B10:$U10,"="&amp;O$1)/$B$103</f>
        <v>0</v>
      </c>
      <c r="P11" s="5">
        <f>COUNTIF(Réponses!$B10:$U10,"="&amp;P$1)/$B$103</f>
        <v>0</v>
      </c>
      <c r="Q11" s="5">
        <f>COUNTIF(Réponses!$B10:$U10,"="&amp;Q$1)/$B$103</f>
        <v>0</v>
      </c>
      <c r="R11" s="5">
        <f>COUNTIF(Réponses!$B10:$U10,"="&amp;R$1)/$B$103</f>
        <v>0</v>
      </c>
      <c r="S11" s="5">
        <f>COUNTIF(Réponses!$B10:$U10,"="&amp;S$1)/$B$103</f>
        <v>0</v>
      </c>
      <c r="T11" s="5">
        <f>COUNTIF(Réponses!$B10:$U10,"="&amp;T$1)/$B$103</f>
        <v>0</v>
      </c>
      <c r="U11" s="5">
        <f>COUNTIF(Réponses!$B10:$U10,"="&amp;U$1)/$B$103</f>
        <v>0</v>
      </c>
      <c r="V11" s="5">
        <f>COUNTIF(Réponses!$B10:$U10,"="&amp;V$1)/$B$103</f>
        <v>0</v>
      </c>
    </row>
    <row r="12" spans="1:22" x14ac:dyDescent="0.25">
      <c r="A12" s="1">
        <v>10</v>
      </c>
      <c r="B12" s="1">
        <f>INDEX(Cartes!$C$2:$C$101,MATCH($A12,Cartes!$A$2:$A$101,0))</f>
        <v>18</v>
      </c>
      <c r="C12" s="5">
        <f>COUNTIF(Réponses!$B11:$U11,"="&amp;C$1)/$B$103</f>
        <v>0</v>
      </c>
      <c r="D12" s="5">
        <f>COUNTIF(Réponses!$B11:$U11,"="&amp;D$1)/$B$103</f>
        <v>0</v>
      </c>
      <c r="E12" s="5">
        <f>COUNTIF(Réponses!$B11:$U11,"="&amp;E$1)/$B$103</f>
        <v>0</v>
      </c>
      <c r="F12" s="5">
        <f>COUNTIF(Réponses!$B11:$U11,"="&amp;F$1)/$B$103</f>
        <v>0</v>
      </c>
      <c r="G12" s="5">
        <f>COUNTIF(Réponses!$B11:$U11,"="&amp;G$1)/$B$103</f>
        <v>0</v>
      </c>
      <c r="H12" s="5">
        <f>COUNTIF(Réponses!$B11:$U11,"="&amp;H$1)/$B$103</f>
        <v>0</v>
      </c>
      <c r="I12" s="5">
        <f>COUNTIF(Réponses!$B11:$U11,"="&amp;I$1)/$B$103</f>
        <v>0</v>
      </c>
      <c r="J12" s="5">
        <f>COUNTIF(Réponses!$B11:$U11,"="&amp;J$1)/$B$103</f>
        <v>0</v>
      </c>
      <c r="K12" s="5">
        <f>COUNTIF(Réponses!$B11:$U11,"="&amp;K$1)/$B$103</f>
        <v>0</v>
      </c>
      <c r="L12" s="5">
        <f>COUNTIF(Réponses!$B11:$U11,"="&amp;L$1)/$B$103</f>
        <v>0</v>
      </c>
      <c r="M12" s="5">
        <f>COUNTIF(Réponses!$B11:$U11,"="&amp;M$1)/$B$103</f>
        <v>0</v>
      </c>
      <c r="N12" s="5">
        <f>COUNTIF(Réponses!$B11:$U11,"="&amp;N$1)/$B$103</f>
        <v>0</v>
      </c>
      <c r="O12" s="5">
        <f>COUNTIF(Réponses!$B11:$U11,"="&amp;O$1)/$B$103</f>
        <v>0</v>
      </c>
      <c r="P12" s="5">
        <f>COUNTIF(Réponses!$B11:$U11,"="&amp;P$1)/$B$103</f>
        <v>0</v>
      </c>
      <c r="Q12" s="5">
        <f>COUNTIF(Réponses!$B11:$U11,"="&amp;Q$1)/$B$103</f>
        <v>0</v>
      </c>
      <c r="R12" s="5">
        <f>COUNTIF(Réponses!$B11:$U11,"="&amp;R$1)/$B$103</f>
        <v>0</v>
      </c>
      <c r="S12" s="5">
        <f>COUNTIF(Réponses!$B11:$U11,"="&amp;S$1)/$B$103</f>
        <v>0</v>
      </c>
      <c r="T12" s="5">
        <f>COUNTIF(Réponses!$B11:$U11,"="&amp;T$1)/$B$103</f>
        <v>1</v>
      </c>
      <c r="U12" s="5">
        <f>COUNTIF(Réponses!$B11:$U11,"="&amp;U$1)/$B$103</f>
        <v>0</v>
      </c>
      <c r="V12" s="5">
        <f>COUNTIF(Réponses!$B11:$U11,"="&amp;V$1)/$B$103</f>
        <v>0</v>
      </c>
    </row>
    <row r="13" spans="1:22" x14ac:dyDescent="0.25">
      <c r="A13" s="1">
        <v>11</v>
      </c>
      <c r="B13" s="1">
        <f>INDEX(Cartes!$C$2:$C$101,MATCH($A13,Cartes!$A$2:$A$101,0))</f>
        <v>2</v>
      </c>
      <c r="C13" s="5">
        <f>COUNTIF(Réponses!$B12:$U12,"="&amp;C$1)/$B$103</f>
        <v>0</v>
      </c>
      <c r="D13" s="5">
        <f>COUNTIF(Réponses!$B12:$U12,"="&amp;D$1)/$B$103</f>
        <v>1</v>
      </c>
      <c r="E13" s="5">
        <f>COUNTIF(Réponses!$B12:$U12,"="&amp;E$1)/$B$103</f>
        <v>0</v>
      </c>
      <c r="F13" s="5">
        <f>COUNTIF(Réponses!$B12:$U12,"="&amp;F$1)/$B$103</f>
        <v>0</v>
      </c>
      <c r="G13" s="5">
        <f>COUNTIF(Réponses!$B12:$U12,"="&amp;G$1)/$B$103</f>
        <v>0</v>
      </c>
      <c r="H13" s="5">
        <f>COUNTIF(Réponses!$B12:$U12,"="&amp;H$1)/$B$103</f>
        <v>0</v>
      </c>
      <c r="I13" s="5">
        <f>COUNTIF(Réponses!$B12:$U12,"="&amp;I$1)/$B$103</f>
        <v>0</v>
      </c>
      <c r="J13" s="5">
        <f>COUNTIF(Réponses!$B12:$U12,"="&amp;J$1)/$B$103</f>
        <v>0</v>
      </c>
      <c r="K13" s="5">
        <f>COUNTIF(Réponses!$B12:$U12,"="&amp;K$1)/$B$103</f>
        <v>0</v>
      </c>
      <c r="L13" s="5">
        <f>COUNTIF(Réponses!$B12:$U12,"="&amp;L$1)/$B$103</f>
        <v>0</v>
      </c>
      <c r="M13" s="5">
        <f>COUNTIF(Réponses!$B12:$U12,"="&amp;M$1)/$B$103</f>
        <v>0</v>
      </c>
      <c r="N13" s="5">
        <f>COUNTIF(Réponses!$B12:$U12,"="&amp;N$1)/$B$103</f>
        <v>0</v>
      </c>
      <c r="O13" s="5">
        <f>COUNTIF(Réponses!$B12:$U12,"="&amp;O$1)/$B$103</f>
        <v>0</v>
      </c>
      <c r="P13" s="5">
        <f>COUNTIF(Réponses!$B12:$U12,"="&amp;P$1)/$B$103</f>
        <v>0</v>
      </c>
      <c r="Q13" s="5">
        <f>COUNTIF(Réponses!$B12:$U12,"="&amp;Q$1)/$B$103</f>
        <v>0</v>
      </c>
      <c r="R13" s="5">
        <f>COUNTIF(Réponses!$B12:$U12,"="&amp;R$1)/$B$103</f>
        <v>0</v>
      </c>
      <c r="S13" s="5">
        <f>COUNTIF(Réponses!$B12:$U12,"="&amp;S$1)/$B$103</f>
        <v>0</v>
      </c>
      <c r="T13" s="5">
        <f>COUNTIF(Réponses!$B12:$U12,"="&amp;T$1)/$B$103</f>
        <v>0</v>
      </c>
      <c r="U13" s="5">
        <f>COUNTIF(Réponses!$B12:$U12,"="&amp;U$1)/$B$103</f>
        <v>0</v>
      </c>
      <c r="V13" s="5">
        <f>COUNTIF(Réponses!$B12:$U12,"="&amp;V$1)/$B$103</f>
        <v>0</v>
      </c>
    </row>
    <row r="14" spans="1:22" x14ac:dyDescent="0.25">
      <c r="A14" s="1">
        <v>12</v>
      </c>
      <c r="B14" s="1">
        <f>INDEX(Cartes!$C$2:$C$101,MATCH($A14,Cartes!$A$2:$A$101,0))</f>
        <v>1</v>
      </c>
      <c r="C14" s="5">
        <f>COUNTIF(Réponses!$B13:$U13,"="&amp;C$1)/$B$103</f>
        <v>1</v>
      </c>
      <c r="D14" s="5">
        <f>COUNTIF(Réponses!$B13:$U13,"="&amp;D$1)/$B$103</f>
        <v>0</v>
      </c>
      <c r="E14" s="5">
        <f>COUNTIF(Réponses!$B13:$U13,"="&amp;E$1)/$B$103</f>
        <v>0</v>
      </c>
      <c r="F14" s="5">
        <f>COUNTIF(Réponses!$B13:$U13,"="&amp;F$1)/$B$103</f>
        <v>0</v>
      </c>
      <c r="G14" s="5">
        <f>COUNTIF(Réponses!$B13:$U13,"="&amp;G$1)/$B$103</f>
        <v>0</v>
      </c>
      <c r="H14" s="5">
        <f>COUNTIF(Réponses!$B13:$U13,"="&amp;H$1)/$B$103</f>
        <v>0</v>
      </c>
      <c r="I14" s="5">
        <f>COUNTIF(Réponses!$B13:$U13,"="&amp;I$1)/$B$103</f>
        <v>0</v>
      </c>
      <c r="J14" s="5">
        <f>COUNTIF(Réponses!$B13:$U13,"="&amp;J$1)/$B$103</f>
        <v>0</v>
      </c>
      <c r="K14" s="5">
        <f>COUNTIF(Réponses!$B13:$U13,"="&amp;K$1)/$B$103</f>
        <v>0</v>
      </c>
      <c r="L14" s="5">
        <f>COUNTIF(Réponses!$B13:$U13,"="&amp;L$1)/$B$103</f>
        <v>0</v>
      </c>
      <c r="M14" s="5">
        <f>COUNTIF(Réponses!$B13:$U13,"="&amp;M$1)/$B$103</f>
        <v>0</v>
      </c>
      <c r="N14" s="5">
        <f>COUNTIF(Réponses!$B13:$U13,"="&amp;N$1)/$B$103</f>
        <v>0</v>
      </c>
      <c r="O14" s="5">
        <f>COUNTIF(Réponses!$B13:$U13,"="&amp;O$1)/$B$103</f>
        <v>0</v>
      </c>
      <c r="P14" s="5">
        <f>COUNTIF(Réponses!$B13:$U13,"="&amp;P$1)/$B$103</f>
        <v>0</v>
      </c>
      <c r="Q14" s="5">
        <f>COUNTIF(Réponses!$B13:$U13,"="&amp;Q$1)/$B$103</f>
        <v>0</v>
      </c>
      <c r="R14" s="5">
        <f>COUNTIF(Réponses!$B13:$U13,"="&amp;R$1)/$B$103</f>
        <v>0</v>
      </c>
      <c r="S14" s="5">
        <f>COUNTIF(Réponses!$B13:$U13,"="&amp;S$1)/$B$103</f>
        <v>0</v>
      </c>
      <c r="T14" s="5">
        <f>COUNTIF(Réponses!$B13:$U13,"="&amp;T$1)/$B$103</f>
        <v>0</v>
      </c>
      <c r="U14" s="5">
        <f>COUNTIF(Réponses!$B13:$U13,"="&amp;U$1)/$B$103</f>
        <v>0</v>
      </c>
      <c r="V14" s="5">
        <f>COUNTIF(Réponses!$B13:$U13,"="&amp;V$1)/$B$103</f>
        <v>0</v>
      </c>
    </row>
    <row r="15" spans="1:22" x14ac:dyDescent="0.25">
      <c r="A15" s="1">
        <v>13</v>
      </c>
      <c r="B15" s="1">
        <f>INDEX(Cartes!$C$2:$C$101,MATCH($A15,Cartes!$A$2:$A$101,0))</f>
        <v>19</v>
      </c>
      <c r="C15" s="5">
        <f>COUNTIF(Réponses!$B14:$U14,"="&amp;C$1)/$B$103</f>
        <v>0</v>
      </c>
      <c r="D15" s="5">
        <f>COUNTIF(Réponses!$B14:$U14,"="&amp;D$1)/$B$103</f>
        <v>0</v>
      </c>
      <c r="E15" s="5">
        <f>COUNTIF(Réponses!$B14:$U14,"="&amp;E$1)/$B$103</f>
        <v>0</v>
      </c>
      <c r="F15" s="5">
        <f>COUNTIF(Réponses!$B14:$U14,"="&amp;F$1)/$B$103</f>
        <v>0</v>
      </c>
      <c r="G15" s="5">
        <f>COUNTIF(Réponses!$B14:$U14,"="&amp;G$1)/$B$103</f>
        <v>0</v>
      </c>
      <c r="H15" s="5">
        <f>COUNTIF(Réponses!$B14:$U14,"="&amp;H$1)/$B$103</f>
        <v>0</v>
      </c>
      <c r="I15" s="5">
        <f>COUNTIF(Réponses!$B14:$U14,"="&amp;I$1)/$B$103</f>
        <v>0</v>
      </c>
      <c r="J15" s="5">
        <f>COUNTIF(Réponses!$B14:$U14,"="&amp;J$1)/$B$103</f>
        <v>0</v>
      </c>
      <c r="K15" s="5">
        <f>COUNTIF(Réponses!$B14:$U14,"="&amp;K$1)/$B$103</f>
        <v>0</v>
      </c>
      <c r="L15" s="5">
        <f>COUNTIF(Réponses!$B14:$U14,"="&amp;L$1)/$B$103</f>
        <v>0</v>
      </c>
      <c r="M15" s="5">
        <f>COUNTIF(Réponses!$B14:$U14,"="&amp;M$1)/$B$103</f>
        <v>0</v>
      </c>
      <c r="N15" s="5">
        <f>COUNTIF(Réponses!$B14:$U14,"="&amp;N$1)/$B$103</f>
        <v>0</v>
      </c>
      <c r="O15" s="5">
        <f>COUNTIF(Réponses!$B14:$U14,"="&amp;O$1)/$B$103</f>
        <v>0</v>
      </c>
      <c r="P15" s="5">
        <f>COUNTIF(Réponses!$B14:$U14,"="&amp;P$1)/$B$103</f>
        <v>0</v>
      </c>
      <c r="Q15" s="5">
        <f>COUNTIF(Réponses!$B14:$U14,"="&amp;Q$1)/$B$103</f>
        <v>0</v>
      </c>
      <c r="R15" s="5">
        <f>COUNTIF(Réponses!$B14:$U14,"="&amp;R$1)/$B$103</f>
        <v>0</v>
      </c>
      <c r="S15" s="5">
        <f>COUNTIF(Réponses!$B14:$U14,"="&amp;S$1)/$B$103</f>
        <v>0</v>
      </c>
      <c r="T15" s="5">
        <f>COUNTIF(Réponses!$B14:$U14,"="&amp;T$1)/$B$103</f>
        <v>0</v>
      </c>
      <c r="U15" s="5">
        <f>COUNTIF(Réponses!$B14:$U14,"="&amp;U$1)/$B$103</f>
        <v>1</v>
      </c>
      <c r="V15" s="5">
        <f>COUNTIF(Réponses!$B14:$U14,"="&amp;V$1)/$B$103</f>
        <v>0</v>
      </c>
    </row>
    <row r="16" spans="1:22" x14ac:dyDescent="0.25">
      <c r="A16" s="1">
        <v>14</v>
      </c>
      <c r="B16" s="1">
        <f>INDEX(Cartes!$C$2:$C$101,MATCH($A16,Cartes!$A$2:$A$101,0))</f>
        <v>17</v>
      </c>
      <c r="C16" s="5">
        <f>COUNTIF(Réponses!$B15:$U15,"="&amp;C$1)/$B$103</f>
        <v>0</v>
      </c>
      <c r="D16" s="5">
        <f>COUNTIF(Réponses!$B15:$U15,"="&amp;D$1)/$B$103</f>
        <v>0</v>
      </c>
      <c r="E16" s="5">
        <f>COUNTIF(Réponses!$B15:$U15,"="&amp;E$1)/$B$103</f>
        <v>0</v>
      </c>
      <c r="F16" s="5">
        <f>COUNTIF(Réponses!$B15:$U15,"="&amp;F$1)/$B$103</f>
        <v>0</v>
      </c>
      <c r="G16" s="5">
        <f>COUNTIF(Réponses!$B15:$U15,"="&amp;G$1)/$B$103</f>
        <v>0</v>
      </c>
      <c r="H16" s="5">
        <f>COUNTIF(Réponses!$B15:$U15,"="&amp;H$1)/$B$103</f>
        <v>0</v>
      </c>
      <c r="I16" s="5">
        <f>COUNTIF(Réponses!$B15:$U15,"="&amp;I$1)/$B$103</f>
        <v>0</v>
      </c>
      <c r="J16" s="5">
        <f>COUNTIF(Réponses!$B15:$U15,"="&amp;J$1)/$B$103</f>
        <v>0</v>
      </c>
      <c r="K16" s="5">
        <f>COUNTIF(Réponses!$B15:$U15,"="&amp;K$1)/$B$103</f>
        <v>0</v>
      </c>
      <c r="L16" s="5">
        <f>COUNTIF(Réponses!$B15:$U15,"="&amp;L$1)/$B$103</f>
        <v>0</v>
      </c>
      <c r="M16" s="5">
        <f>COUNTIF(Réponses!$B15:$U15,"="&amp;M$1)/$B$103</f>
        <v>0</v>
      </c>
      <c r="N16" s="5">
        <f>COUNTIF(Réponses!$B15:$U15,"="&amp;N$1)/$B$103</f>
        <v>0</v>
      </c>
      <c r="O16" s="5">
        <f>COUNTIF(Réponses!$B15:$U15,"="&amp;O$1)/$B$103</f>
        <v>0</v>
      </c>
      <c r="P16" s="5">
        <f>COUNTIF(Réponses!$B15:$U15,"="&amp;P$1)/$B$103</f>
        <v>0</v>
      </c>
      <c r="Q16" s="5">
        <f>COUNTIF(Réponses!$B15:$U15,"="&amp;Q$1)/$B$103</f>
        <v>0</v>
      </c>
      <c r="R16" s="5">
        <f>COUNTIF(Réponses!$B15:$U15,"="&amp;R$1)/$B$103</f>
        <v>0</v>
      </c>
      <c r="S16" s="5">
        <f>COUNTIF(Réponses!$B15:$U15,"="&amp;S$1)/$B$103</f>
        <v>1</v>
      </c>
      <c r="T16" s="5">
        <f>COUNTIF(Réponses!$B15:$U15,"="&amp;T$1)/$B$103</f>
        <v>0</v>
      </c>
      <c r="U16" s="5">
        <f>COUNTIF(Réponses!$B15:$U15,"="&amp;U$1)/$B$103</f>
        <v>0</v>
      </c>
      <c r="V16" s="5">
        <f>COUNTIF(Réponses!$B15:$U15,"="&amp;V$1)/$B$103</f>
        <v>0</v>
      </c>
    </row>
    <row r="17" spans="1:22" x14ac:dyDescent="0.25">
      <c r="A17" s="1">
        <v>15</v>
      </c>
      <c r="B17" s="1">
        <f>INDEX(Cartes!$C$2:$C$101,MATCH($A17,Cartes!$A$2:$A$101,0))</f>
        <v>11</v>
      </c>
      <c r="C17" s="5">
        <f>COUNTIF(Réponses!$B16:$U16,"="&amp;C$1)/$B$103</f>
        <v>0</v>
      </c>
      <c r="D17" s="5">
        <f>COUNTIF(Réponses!$B16:$U16,"="&amp;D$1)/$B$103</f>
        <v>0</v>
      </c>
      <c r="E17" s="5">
        <f>COUNTIF(Réponses!$B16:$U16,"="&amp;E$1)/$B$103</f>
        <v>0</v>
      </c>
      <c r="F17" s="5">
        <f>COUNTIF(Réponses!$B16:$U16,"="&amp;F$1)/$B$103</f>
        <v>0</v>
      </c>
      <c r="G17" s="5">
        <f>COUNTIF(Réponses!$B16:$U16,"="&amp;G$1)/$B$103</f>
        <v>0</v>
      </c>
      <c r="H17" s="5">
        <f>COUNTIF(Réponses!$B16:$U16,"="&amp;H$1)/$B$103</f>
        <v>0</v>
      </c>
      <c r="I17" s="5">
        <f>COUNTIF(Réponses!$B16:$U16,"="&amp;I$1)/$B$103</f>
        <v>0</v>
      </c>
      <c r="J17" s="5">
        <f>COUNTIF(Réponses!$B16:$U16,"="&amp;J$1)/$B$103</f>
        <v>0</v>
      </c>
      <c r="K17" s="5">
        <f>COUNTIF(Réponses!$B16:$U16,"="&amp;K$1)/$B$103</f>
        <v>0.05</v>
      </c>
      <c r="L17" s="5">
        <f>COUNTIF(Réponses!$B16:$U16,"="&amp;L$1)/$B$103</f>
        <v>0</v>
      </c>
      <c r="M17" s="5">
        <f>COUNTIF(Réponses!$B16:$U16,"="&amp;M$1)/$B$103</f>
        <v>0.9</v>
      </c>
      <c r="N17" s="5">
        <f>COUNTIF(Réponses!$B16:$U16,"="&amp;N$1)/$B$103</f>
        <v>0</v>
      </c>
      <c r="O17" s="5">
        <f>COUNTIF(Réponses!$B16:$U16,"="&amp;O$1)/$B$103</f>
        <v>0</v>
      </c>
      <c r="P17" s="5">
        <f>COUNTIF(Réponses!$B16:$U16,"="&amp;P$1)/$B$103</f>
        <v>0</v>
      </c>
      <c r="Q17" s="5">
        <f>COUNTIF(Réponses!$B16:$U16,"="&amp;Q$1)/$B$103</f>
        <v>0</v>
      </c>
      <c r="R17" s="5">
        <f>COUNTIF(Réponses!$B16:$U16,"="&amp;R$1)/$B$103</f>
        <v>0</v>
      </c>
      <c r="S17" s="5">
        <f>COUNTIF(Réponses!$B16:$U16,"="&amp;S$1)/$B$103</f>
        <v>0.05</v>
      </c>
      <c r="T17" s="5">
        <f>COUNTIF(Réponses!$B16:$U16,"="&amp;T$1)/$B$103</f>
        <v>0</v>
      </c>
      <c r="U17" s="5">
        <f>COUNTIF(Réponses!$B16:$U16,"="&amp;U$1)/$B$103</f>
        <v>0</v>
      </c>
      <c r="V17" s="5">
        <f>COUNTIF(Réponses!$B16:$U16,"="&amp;V$1)/$B$103</f>
        <v>0</v>
      </c>
    </row>
    <row r="18" spans="1:22" x14ac:dyDescent="0.25">
      <c r="A18" s="1">
        <v>16</v>
      </c>
      <c r="B18" s="1">
        <f>INDEX(Cartes!$C$2:$C$101,MATCH($A18,Cartes!$A$2:$A$101,0))</f>
        <v>20</v>
      </c>
      <c r="C18" s="5">
        <f>COUNTIF(Réponses!$B17:$U17,"="&amp;C$1)/$B$103</f>
        <v>0</v>
      </c>
      <c r="D18" s="5">
        <f>COUNTIF(Réponses!$B17:$U17,"="&amp;D$1)/$B$103</f>
        <v>0</v>
      </c>
      <c r="E18" s="5">
        <f>COUNTIF(Réponses!$B17:$U17,"="&amp;E$1)/$B$103</f>
        <v>0</v>
      </c>
      <c r="F18" s="5">
        <f>COUNTIF(Réponses!$B17:$U17,"="&amp;F$1)/$B$103</f>
        <v>0</v>
      </c>
      <c r="G18" s="5">
        <f>COUNTIF(Réponses!$B17:$U17,"="&amp;G$1)/$B$103</f>
        <v>0</v>
      </c>
      <c r="H18" s="5">
        <f>COUNTIF(Réponses!$B17:$U17,"="&amp;H$1)/$B$103</f>
        <v>0</v>
      </c>
      <c r="I18" s="5">
        <f>COUNTIF(Réponses!$B17:$U17,"="&amp;I$1)/$B$103</f>
        <v>0</v>
      </c>
      <c r="J18" s="5">
        <f>COUNTIF(Réponses!$B17:$U17,"="&amp;J$1)/$B$103</f>
        <v>0</v>
      </c>
      <c r="K18" s="5">
        <f>COUNTIF(Réponses!$B17:$U17,"="&amp;K$1)/$B$103</f>
        <v>0</v>
      </c>
      <c r="L18" s="5">
        <f>COUNTIF(Réponses!$B17:$U17,"="&amp;L$1)/$B$103</f>
        <v>0</v>
      </c>
      <c r="M18" s="5">
        <f>COUNTIF(Réponses!$B17:$U17,"="&amp;M$1)/$B$103</f>
        <v>0</v>
      </c>
      <c r="N18" s="5">
        <f>COUNTIF(Réponses!$B17:$U17,"="&amp;N$1)/$B$103</f>
        <v>0</v>
      </c>
      <c r="O18" s="5">
        <f>COUNTIF(Réponses!$B17:$U17,"="&amp;O$1)/$B$103</f>
        <v>0</v>
      </c>
      <c r="P18" s="5">
        <f>COUNTIF(Réponses!$B17:$U17,"="&amp;P$1)/$B$103</f>
        <v>0</v>
      </c>
      <c r="Q18" s="5">
        <f>COUNTIF(Réponses!$B17:$U17,"="&amp;Q$1)/$B$103</f>
        <v>0</v>
      </c>
      <c r="R18" s="5">
        <f>COUNTIF(Réponses!$B17:$U17,"="&amp;R$1)/$B$103</f>
        <v>0</v>
      </c>
      <c r="S18" s="5">
        <f>COUNTIF(Réponses!$B17:$U17,"="&amp;S$1)/$B$103</f>
        <v>0</v>
      </c>
      <c r="T18" s="5">
        <f>COUNTIF(Réponses!$B17:$U17,"="&amp;T$1)/$B$103</f>
        <v>0</v>
      </c>
      <c r="U18" s="5">
        <f>COUNTIF(Réponses!$B17:$U17,"="&amp;U$1)/$B$103</f>
        <v>0</v>
      </c>
      <c r="V18" s="5">
        <f>COUNTIF(Réponses!$B17:$U17,"="&amp;V$1)/$B$103</f>
        <v>1</v>
      </c>
    </row>
    <row r="19" spans="1:22" x14ac:dyDescent="0.25">
      <c r="A19" s="1">
        <v>17</v>
      </c>
      <c r="B19" s="1">
        <f>INDEX(Cartes!$C$2:$C$101,MATCH($A19,Cartes!$A$2:$A$101,0))</f>
        <v>8</v>
      </c>
      <c r="C19" s="5">
        <f>COUNTIF(Réponses!$B18:$U18,"="&amp;C$1)/$B$103</f>
        <v>0</v>
      </c>
      <c r="D19" s="5">
        <f>COUNTIF(Réponses!$B18:$U18,"="&amp;D$1)/$B$103</f>
        <v>0</v>
      </c>
      <c r="E19" s="5">
        <f>COUNTIF(Réponses!$B18:$U18,"="&amp;E$1)/$B$103</f>
        <v>0</v>
      </c>
      <c r="F19" s="5">
        <f>COUNTIF(Réponses!$B18:$U18,"="&amp;F$1)/$B$103</f>
        <v>0</v>
      </c>
      <c r="G19" s="5">
        <f>COUNTIF(Réponses!$B18:$U18,"="&amp;G$1)/$B$103</f>
        <v>0</v>
      </c>
      <c r="H19" s="5">
        <f>COUNTIF(Réponses!$B18:$U18,"="&amp;H$1)/$B$103</f>
        <v>0</v>
      </c>
      <c r="I19" s="5">
        <f>COUNTIF(Réponses!$B18:$U18,"="&amp;I$1)/$B$103</f>
        <v>0</v>
      </c>
      <c r="J19" s="5">
        <f>COUNTIF(Réponses!$B18:$U18,"="&amp;J$1)/$B$103</f>
        <v>1</v>
      </c>
      <c r="K19" s="5">
        <f>COUNTIF(Réponses!$B18:$U18,"="&amp;K$1)/$B$103</f>
        <v>0</v>
      </c>
      <c r="L19" s="5">
        <f>COUNTIF(Réponses!$B18:$U18,"="&amp;L$1)/$B$103</f>
        <v>0</v>
      </c>
      <c r="M19" s="5">
        <f>COUNTIF(Réponses!$B18:$U18,"="&amp;M$1)/$B$103</f>
        <v>0</v>
      </c>
      <c r="N19" s="5">
        <f>COUNTIF(Réponses!$B18:$U18,"="&amp;N$1)/$B$103</f>
        <v>0</v>
      </c>
      <c r="O19" s="5">
        <f>COUNTIF(Réponses!$B18:$U18,"="&amp;O$1)/$B$103</f>
        <v>0</v>
      </c>
      <c r="P19" s="5">
        <f>COUNTIF(Réponses!$B18:$U18,"="&amp;P$1)/$B$103</f>
        <v>0</v>
      </c>
      <c r="Q19" s="5">
        <f>COUNTIF(Réponses!$B18:$U18,"="&amp;Q$1)/$B$103</f>
        <v>0</v>
      </c>
      <c r="R19" s="5">
        <f>COUNTIF(Réponses!$B18:$U18,"="&amp;R$1)/$B$103</f>
        <v>0</v>
      </c>
      <c r="S19" s="5">
        <f>COUNTIF(Réponses!$B18:$U18,"="&amp;S$1)/$B$103</f>
        <v>0</v>
      </c>
      <c r="T19" s="5">
        <f>COUNTIF(Réponses!$B18:$U18,"="&amp;T$1)/$B$103</f>
        <v>0</v>
      </c>
      <c r="U19" s="5">
        <f>COUNTIF(Réponses!$B18:$U18,"="&amp;U$1)/$B$103</f>
        <v>0</v>
      </c>
      <c r="V19" s="5">
        <f>COUNTIF(Réponses!$B18:$U18,"="&amp;V$1)/$B$103</f>
        <v>0</v>
      </c>
    </row>
    <row r="20" spans="1:22" x14ac:dyDescent="0.25">
      <c r="A20" s="1">
        <v>18</v>
      </c>
      <c r="B20" s="1">
        <f>INDEX(Cartes!$C$2:$C$101,MATCH($A20,Cartes!$A$2:$A$101,0))</f>
        <v>14</v>
      </c>
      <c r="C20" s="5">
        <f>COUNTIF(Réponses!$B19:$U19,"="&amp;C$1)/$B$103</f>
        <v>0</v>
      </c>
      <c r="D20" s="5">
        <f>COUNTIF(Réponses!$B19:$U19,"="&amp;D$1)/$B$103</f>
        <v>0</v>
      </c>
      <c r="E20" s="5">
        <f>COUNTIF(Réponses!$B19:$U19,"="&amp;E$1)/$B$103</f>
        <v>0.25</v>
      </c>
      <c r="F20" s="5">
        <f>COUNTIF(Réponses!$B19:$U19,"="&amp;F$1)/$B$103</f>
        <v>0</v>
      </c>
      <c r="G20" s="5">
        <f>COUNTIF(Réponses!$B19:$U19,"="&amp;G$1)/$B$103</f>
        <v>0</v>
      </c>
      <c r="H20" s="5">
        <f>COUNTIF(Réponses!$B19:$U19,"="&amp;H$1)/$B$103</f>
        <v>0</v>
      </c>
      <c r="I20" s="5">
        <f>COUNTIF(Réponses!$B19:$U19,"="&amp;I$1)/$B$103</f>
        <v>0</v>
      </c>
      <c r="J20" s="5">
        <f>COUNTIF(Réponses!$B19:$U19,"="&amp;J$1)/$B$103</f>
        <v>0</v>
      </c>
      <c r="K20" s="5">
        <f>COUNTIF(Réponses!$B19:$U19,"="&amp;K$1)/$B$103</f>
        <v>0</v>
      </c>
      <c r="L20" s="5">
        <f>COUNTIF(Réponses!$B19:$U19,"="&amp;L$1)/$B$103</f>
        <v>0</v>
      </c>
      <c r="M20" s="5">
        <f>COUNTIF(Réponses!$B19:$U19,"="&amp;M$1)/$B$103</f>
        <v>0</v>
      </c>
      <c r="N20" s="5">
        <f>COUNTIF(Réponses!$B19:$U19,"="&amp;N$1)/$B$103</f>
        <v>0</v>
      </c>
      <c r="O20" s="5">
        <f>COUNTIF(Réponses!$B19:$U19,"="&amp;O$1)/$B$103</f>
        <v>0</v>
      </c>
      <c r="P20" s="5">
        <f>COUNTIF(Réponses!$B19:$U19,"="&amp;P$1)/$B$103</f>
        <v>0.75</v>
      </c>
      <c r="Q20" s="5">
        <f>COUNTIF(Réponses!$B19:$U19,"="&amp;Q$1)/$B$103</f>
        <v>0</v>
      </c>
      <c r="R20" s="5">
        <f>COUNTIF(Réponses!$B19:$U19,"="&amp;R$1)/$B$103</f>
        <v>0</v>
      </c>
      <c r="S20" s="5">
        <f>COUNTIF(Réponses!$B19:$U19,"="&amp;S$1)/$B$103</f>
        <v>0</v>
      </c>
      <c r="T20" s="5">
        <f>COUNTIF(Réponses!$B19:$U19,"="&amp;T$1)/$B$103</f>
        <v>0</v>
      </c>
      <c r="U20" s="5">
        <f>COUNTIF(Réponses!$B19:$U19,"="&amp;U$1)/$B$103</f>
        <v>0</v>
      </c>
      <c r="V20" s="5">
        <f>COUNTIF(Réponses!$B19:$U19,"="&amp;V$1)/$B$103</f>
        <v>0</v>
      </c>
    </row>
    <row r="21" spans="1:22" x14ac:dyDescent="0.25">
      <c r="A21" s="1">
        <v>19</v>
      </c>
      <c r="B21" s="1">
        <f>INDEX(Cartes!$C$2:$C$101,MATCH($A21,Cartes!$A$2:$A$101,0))</f>
        <v>5</v>
      </c>
      <c r="C21" s="5">
        <f>COUNTIF(Réponses!$B20:$U20,"="&amp;C$1)/$B$103</f>
        <v>0</v>
      </c>
      <c r="D21" s="5">
        <f>COUNTIF(Réponses!$B20:$U20,"="&amp;D$1)/$B$103</f>
        <v>0</v>
      </c>
      <c r="E21" s="5">
        <f>COUNTIF(Réponses!$B20:$U20,"="&amp;E$1)/$B$103</f>
        <v>0</v>
      </c>
      <c r="F21" s="5">
        <f>COUNTIF(Réponses!$B20:$U20,"="&amp;F$1)/$B$103</f>
        <v>0</v>
      </c>
      <c r="G21" s="5">
        <f>COUNTIF(Réponses!$B20:$U20,"="&amp;G$1)/$B$103</f>
        <v>1</v>
      </c>
      <c r="H21" s="5">
        <f>COUNTIF(Réponses!$B20:$U20,"="&amp;H$1)/$B$103</f>
        <v>0</v>
      </c>
      <c r="I21" s="5">
        <f>COUNTIF(Réponses!$B20:$U20,"="&amp;I$1)/$B$103</f>
        <v>0</v>
      </c>
      <c r="J21" s="5">
        <f>COUNTIF(Réponses!$B20:$U20,"="&amp;J$1)/$B$103</f>
        <v>0</v>
      </c>
      <c r="K21" s="5">
        <f>COUNTIF(Réponses!$B20:$U20,"="&amp;K$1)/$B$103</f>
        <v>0</v>
      </c>
      <c r="L21" s="5">
        <f>COUNTIF(Réponses!$B20:$U20,"="&amp;L$1)/$B$103</f>
        <v>0</v>
      </c>
      <c r="M21" s="5">
        <f>COUNTIF(Réponses!$B20:$U20,"="&amp;M$1)/$B$103</f>
        <v>0</v>
      </c>
      <c r="N21" s="5">
        <f>COUNTIF(Réponses!$B20:$U20,"="&amp;N$1)/$B$103</f>
        <v>0</v>
      </c>
      <c r="O21" s="5">
        <f>COUNTIF(Réponses!$B20:$U20,"="&amp;O$1)/$B$103</f>
        <v>0</v>
      </c>
      <c r="P21" s="5">
        <f>COUNTIF(Réponses!$B20:$U20,"="&amp;P$1)/$B$103</f>
        <v>0</v>
      </c>
      <c r="Q21" s="5">
        <f>COUNTIF(Réponses!$B20:$U20,"="&amp;Q$1)/$B$103</f>
        <v>0</v>
      </c>
      <c r="R21" s="5">
        <f>COUNTIF(Réponses!$B20:$U20,"="&amp;R$1)/$B$103</f>
        <v>0</v>
      </c>
      <c r="S21" s="5">
        <f>COUNTIF(Réponses!$B20:$U20,"="&amp;S$1)/$B$103</f>
        <v>0</v>
      </c>
      <c r="T21" s="5">
        <f>COUNTIF(Réponses!$B20:$U20,"="&amp;T$1)/$B$103</f>
        <v>0</v>
      </c>
      <c r="U21" s="5">
        <f>COUNTIF(Réponses!$B20:$U20,"="&amp;U$1)/$B$103</f>
        <v>0</v>
      </c>
      <c r="V21" s="5">
        <f>COUNTIF(Réponses!$B20:$U20,"="&amp;V$1)/$B$103</f>
        <v>0</v>
      </c>
    </row>
    <row r="22" spans="1:22" x14ac:dyDescent="0.25">
      <c r="A22" s="1">
        <v>20</v>
      </c>
      <c r="B22" s="1">
        <f>INDEX(Cartes!$C$2:$C$101,MATCH($A22,Cartes!$A$2:$A$101,0))</f>
        <v>13</v>
      </c>
      <c r="C22" s="5">
        <f>COUNTIF(Réponses!$B21:$U21,"="&amp;C$1)/$B$103</f>
        <v>0</v>
      </c>
      <c r="D22" s="5">
        <f>COUNTIF(Réponses!$B21:$U21,"="&amp;D$1)/$B$103</f>
        <v>0</v>
      </c>
      <c r="E22" s="5">
        <f>COUNTIF(Réponses!$B21:$U21,"="&amp;E$1)/$B$103</f>
        <v>0.05</v>
      </c>
      <c r="F22" s="5">
        <f>COUNTIF(Réponses!$B21:$U21,"="&amp;F$1)/$B$103</f>
        <v>0</v>
      </c>
      <c r="G22" s="5">
        <f>COUNTIF(Réponses!$B21:$U21,"="&amp;G$1)/$B$103</f>
        <v>0</v>
      </c>
      <c r="H22" s="5">
        <f>COUNTIF(Réponses!$B21:$U21,"="&amp;H$1)/$B$103</f>
        <v>0</v>
      </c>
      <c r="I22" s="5">
        <f>COUNTIF(Réponses!$B21:$U21,"="&amp;I$1)/$B$103</f>
        <v>0</v>
      </c>
      <c r="J22" s="5">
        <f>COUNTIF(Réponses!$B21:$U21,"="&amp;J$1)/$B$103</f>
        <v>0</v>
      </c>
      <c r="K22" s="5">
        <f>COUNTIF(Réponses!$B21:$U21,"="&amp;K$1)/$B$103</f>
        <v>0.05</v>
      </c>
      <c r="L22" s="5">
        <f>COUNTIF(Réponses!$B21:$U21,"="&amp;L$1)/$B$103</f>
        <v>0</v>
      </c>
      <c r="M22" s="5">
        <f>COUNTIF(Réponses!$B21:$U21,"="&amp;M$1)/$B$103</f>
        <v>0</v>
      </c>
      <c r="N22" s="5">
        <f>COUNTIF(Réponses!$B21:$U21,"="&amp;N$1)/$B$103</f>
        <v>0</v>
      </c>
      <c r="O22" s="5">
        <f>COUNTIF(Réponses!$B21:$U21,"="&amp;O$1)/$B$103</f>
        <v>0.9</v>
      </c>
      <c r="P22" s="5">
        <f>COUNTIF(Réponses!$B21:$U21,"="&amp;P$1)/$B$103</f>
        <v>0</v>
      </c>
      <c r="Q22" s="5">
        <f>COUNTIF(Réponses!$B21:$U21,"="&amp;Q$1)/$B$103</f>
        <v>0</v>
      </c>
      <c r="R22" s="5">
        <f>COUNTIF(Réponses!$B21:$U21,"="&amp;R$1)/$B$103</f>
        <v>0</v>
      </c>
      <c r="S22" s="5">
        <f>COUNTIF(Réponses!$B21:$U21,"="&amp;S$1)/$B$103</f>
        <v>0</v>
      </c>
      <c r="T22" s="5">
        <f>COUNTIF(Réponses!$B21:$U21,"="&amp;T$1)/$B$103</f>
        <v>0</v>
      </c>
      <c r="U22" s="5">
        <f>COUNTIF(Réponses!$B21:$U21,"="&amp;U$1)/$B$103</f>
        <v>0</v>
      </c>
      <c r="V22" s="5">
        <f>COUNTIF(Réponses!$B21:$U21,"="&amp;V$1)/$B$103</f>
        <v>0</v>
      </c>
    </row>
    <row r="23" spans="1:22" x14ac:dyDescent="0.25">
      <c r="A23" s="1">
        <v>21</v>
      </c>
      <c r="B23" s="1">
        <f>INDEX(Cartes!$C$2:$C$101,MATCH($A23,Cartes!$A$2:$A$101,0))</f>
        <v>4</v>
      </c>
      <c r="C23" s="5">
        <f>COUNTIF(Réponses!$B22:$U22,"="&amp;C$1)/$B$103</f>
        <v>0</v>
      </c>
      <c r="D23" s="5">
        <f>COUNTIF(Réponses!$B22:$U22,"="&amp;D$1)/$B$103</f>
        <v>0</v>
      </c>
      <c r="E23" s="5">
        <f>COUNTIF(Réponses!$B22:$U22,"="&amp;E$1)/$B$103</f>
        <v>0</v>
      </c>
      <c r="F23" s="5">
        <f>COUNTIF(Réponses!$B22:$U22,"="&amp;F$1)/$B$103</f>
        <v>1</v>
      </c>
      <c r="G23" s="5">
        <f>COUNTIF(Réponses!$B22:$U22,"="&amp;G$1)/$B$103</f>
        <v>0</v>
      </c>
      <c r="H23" s="5">
        <f>COUNTIF(Réponses!$B22:$U22,"="&amp;H$1)/$B$103</f>
        <v>0</v>
      </c>
      <c r="I23" s="5">
        <f>COUNTIF(Réponses!$B22:$U22,"="&amp;I$1)/$B$103</f>
        <v>0</v>
      </c>
      <c r="J23" s="5">
        <f>COUNTIF(Réponses!$B22:$U22,"="&amp;J$1)/$B$103</f>
        <v>0</v>
      </c>
      <c r="K23" s="5">
        <f>COUNTIF(Réponses!$B22:$U22,"="&amp;K$1)/$B$103</f>
        <v>0</v>
      </c>
      <c r="L23" s="5">
        <f>COUNTIF(Réponses!$B22:$U22,"="&amp;L$1)/$B$103</f>
        <v>0</v>
      </c>
      <c r="M23" s="5">
        <f>COUNTIF(Réponses!$B22:$U22,"="&amp;M$1)/$B$103</f>
        <v>0</v>
      </c>
      <c r="N23" s="5">
        <f>COUNTIF(Réponses!$B22:$U22,"="&amp;N$1)/$B$103</f>
        <v>0</v>
      </c>
      <c r="O23" s="5">
        <f>COUNTIF(Réponses!$B22:$U22,"="&amp;O$1)/$B$103</f>
        <v>0</v>
      </c>
      <c r="P23" s="5">
        <f>COUNTIF(Réponses!$B22:$U22,"="&amp;P$1)/$B$103</f>
        <v>0</v>
      </c>
      <c r="Q23" s="5">
        <f>COUNTIF(Réponses!$B22:$U22,"="&amp;Q$1)/$B$103</f>
        <v>0</v>
      </c>
      <c r="R23" s="5">
        <f>COUNTIF(Réponses!$B22:$U22,"="&amp;R$1)/$B$103</f>
        <v>0</v>
      </c>
      <c r="S23" s="5">
        <f>COUNTIF(Réponses!$B22:$U22,"="&amp;S$1)/$B$103</f>
        <v>0</v>
      </c>
      <c r="T23" s="5">
        <f>COUNTIF(Réponses!$B22:$U22,"="&amp;T$1)/$B$103</f>
        <v>0</v>
      </c>
      <c r="U23" s="5">
        <f>COUNTIF(Réponses!$B22:$U22,"="&amp;U$1)/$B$103</f>
        <v>0</v>
      </c>
      <c r="V23" s="5">
        <f>COUNTIF(Réponses!$B22:$U22,"="&amp;V$1)/$B$103</f>
        <v>0</v>
      </c>
    </row>
    <row r="24" spans="1:22" x14ac:dyDescent="0.25">
      <c r="A24" s="1">
        <v>22</v>
      </c>
      <c r="B24" s="1">
        <f>INDEX(Cartes!$C$2:$C$101,MATCH($A24,Cartes!$A$2:$A$101,0))</f>
        <v>18</v>
      </c>
      <c r="C24" s="5">
        <f>COUNTIF(Réponses!$B23:$U23,"="&amp;C$1)/$B$103</f>
        <v>0</v>
      </c>
      <c r="D24" s="5">
        <f>COUNTIF(Réponses!$B23:$U23,"="&amp;D$1)/$B$103</f>
        <v>0</v>
      </c>
      <c r="E24" s="5">
        <f>COUNTIF(Réponses!$B23:$U23,"="&amp;E$1)/$B$103</f>
        <v>0</v>
      </c>
      <c r="F24" s="5">
        <f>COUNTIF(Réponses!$B23:$U23,"="&amp;F$1)/$B$103</f>
        <v>0</v>
      </c>
      <c r="G24" s="5">
        <f>COUNTIF(Réponses!$B23:$U23,"="&amp;G$1)/$B$103</f>
        <v>0</v>
      </c>
      <c r="H24" s="5">
        <f>COUNTIF(Réponses!$B23:$U23,"="&amp;H$1)/$B$103</f>
        <v>0</v>
      </c>
      <c r="I24" s="5">
        <f>COUNTIF(Réponses!$B23:$U23,"="&amp;I$1)/$B$103</f>
        <v>0</v>
      </c>
      <c r="J24" s="5">
        <f>COUNTIF(Réponses!$B23:$U23,"="&amp;J$1)/$B$103</f>
        <v>0</v>
      </c>
      <c r="K24" s="5">
        <f>COUNTIF(Réponses!$B23:$U23,"="&amp;K$1)/$B$103</f>
        <v>0</v>
      </c>
      <c r="L24" s="5">
        <f>COUNTIF(Réponses!$B23:$U23,"="&amp;L$1)/$B$103</f>
        <v>0</v>
      </c>
      <c r="M24" s="5">
        <f>COUNTIF(Réponses!$B23:$U23,"="&amp;M$1)/$B$103</f>
        <v>0</v>
      </c>
      <c r="N24" s="5">
        <f>COUNTIF(Réponses!$B23:$U23,"="&amp;N$1)/$B$103</f>
        <v>0</v>
      </c>
      <c r="O24" s="5">
        <f>COUNTIF(Réponses!$B23:$U23,"="&amp;O$1)/$B$103</f>
        <v>0</v>
      </c>
      <c r="P24" s="5">
        <f>COUNTIF(Réponses!$B23:$U23,"="&amp;P$1)/$B$103</f>
        <v>0</v>
      </c>
      <c r="Q24" s="5">
        <f>COUNTIF(Réponses!$B23:$U23,"="&amp;Q$1)/$B$103</f>
        <v>0</v>
      </c>
      <c r="R24" s="5">
        <f>COUNTIF(Réponses!$B23:$U23,"="&amp;R$1)/$B$103</f>
        <v>0</v>
      </c>
      <c r="S24" s="5">
        <f>COUNTIF(Réponses!$B23:$U23,"="&amp;S$1)/$B$103</f>
        <v>0</v>
      </c>
      <c r="T24" s="5">
        <f>COUNTIF(Réponses!$B23:$U23,"="&amp;T$1)/$B$103</f>
        <v>1</v>
      </c>
      <c r="U24" s="5">
        <f>COUNTIF(Réponses!$B23:$U23,"="&amp;U$1)/$B$103</f>
        <v>0</v>
      </c>
      <c r="V24" s="5">
        <f>COUNTIF(Réponses!$B23:$U23,"="&amp;V$1)/$B$103</f>
        <v>0</v>
      </c>
    </row>
    <row r="25" spans="1:22" x14ac:dyDescent="0.25">
      <c r="A25" s="1">
        <v>23</v>
      </c>
      <c r="B25" s="1">
        <f>INDEX(Cartes!$C$2:$C$101,MATCH($A25,Cartes!$A$2:$A$101,0))</f>
        <v>5</v>
      </c>
      <c r="C25" s="5">
        <f>COUNTIF(Réponses!$B24:$U24,"="&amp;C$1)/$B$103</f>
        <v>0</v>
      </c>
      <c r="D25" s="5">
        <f>COUNTIF(Réponses!$B24:$U24,"="&amp;D$1)/$B$103</f>
        <v>0</v>
      </c>
      <c r="E25" s="5">
        <f>COUNTIF(Réponses!$B24:$U24,"="&amp;E$1)/$B$103</f>
        <v>0</v>
      </c>
      <c r="F25" s="5">
        <f>COUNTIF(Réponses!$B24:$U24,"="&amp;F$1)/$B$103</f>
        <v>0</v>
      </c>
      <c r="G25" s="5">
        <f>COUNTIF(Réponses!$B24:$U24,"="&amp;G$1)/$B$103</f>
        <v>1</v>
      </c>
      <c r="H25" s="5">
        <f>COUNTIF(Réponses!$B24:$U24,"="&amp;H$1)/$B$103</f>
        <v>0</v>
      </c>
      <c r="I25" s="5">
        <f>COUNTIF(Réponses!$B24:$U24,"="&amp;I$1)/$B$103</f>
        <v>0</v>
      </c>
      <c r="J25" s="5">
        <f>COUNTIF(Réponses!$B24:$U24,"="&amp;J$1)/$B$103</f>
        <v>0</v>
      </c>
      <c r="K25" s="5">
        <f>COUNTIF(Réponses!$B24:$U24,"="&amp;K$1)/$B$103</f>
        <v>0</v>
      </c>
      <c r="L25" s="5">
        <f>COUNTIF(Réponses!$B24:$U24,"="&amp;L$1)/$B$103</f>
        <v>0</v>
      </c>
      <c r="M25" s="5">
        <f>COUNTIF(Réponses!$B24:$U24,"="&amp;M$1)/$B$103</f>
        <v>0</v>
      </c>
      <c r="N25" s="5">
        <f>COUNTIF(Réponses!$B24:$U24,"="&amp;N$1)/$B$103</f>
        <v>0</v>
      </c>
      <c r="O25" s="5">
        <f>COUNTIF(Réponses!$B24:$U24,"="&amp;O$1)/$B$103</f>
        <v>0</v>
      </c>
      <c r="P25" s="5">
        <f>COUNTIF(Réponses!$B24:$U24,"="&amp;P$1)/$B$103</f>
        <v>0</v>
      </c>
      <c r="Q25" s="5">
        <f>COUNTIF(Réponses!$B24:$U24,"="&amp;Q$1)/$B$103</f>
        <v>0</v>
      </c>
      <c r="R25" s="5">
        <f>COUNTIF(Réponses!$B24:$U24,"="&amp;R$1)/$B$103</f>
        <v>0</v>
      </c>
      <c r="S25" s="5">
        <f>COUNTIF(Réponses!$B24:$U24,"="&amp;S$1)/$B$103</f>
        <v>0</v>
      </c>
      <c r="T25" s="5">
        <f>COUNTIF(Réponses!$B24:$U24,"="&amp;T$1)/$B$103</f>
        <v>0</v>
      </c>
      <c r="U25" s="5">
        <f>COUNTIF(Réponses!$B24:$U24,"="&amp;U$1)/$B$103</f>
        <v>0</v>
      </c>
      <c r="V25" s="5">
        <f>COUNTIF(Réponses!$B24:$U24,"="&amp;V$1)/$B$103</f>
        <v>0</v>
      </c>
    </row>
    <row r="26" spans="1:22" x14ac:dyDescent="0.25">
      <c r="A26" s="1">
        <v>24</v>
      </c>
      <c r="B26" s="1">
        <f>INDEX(Cartes!$C$2:$C$101,MATCH($A26,Cartes!$A$2:$A$101,0))</f>
        <v>1</v>
      </c>
      <c r="C26" s="5">
        <f>COUNTIF(Réponses!$B25:$U25,"="&amp;C$1)/$B$103</f>
        <v>0.9</v>
      </c>
      <c r="D26" s="5">
        <f>COUNTIF(Réponses!$B25:$U25,"="&amp;D$1)/$B$103</f>
        <v>0</v>
      </c>
      <c r="E26" s="5">
        <f>COUNTIF(Réponses!$B25:$U25,"="&amp;E$1)/$B$103</f>
        <v>0</v>
      </c>
      <c r="F26" s="5">
        <f>COUNTIF(Réponses!$B25:$U25,"="&amp;F$1)/$B$103</f>
        <v>0.05</v>
      </c>
      <c r="G26" s="5">
        <f>COUNTIF(Réponses!$B25:$U25,"="&amp;G$1)/$B$103</f>
        <v>0</v>
      </c>
      <c r="H26" s="5">
        <f>COUNTIF(Réponses!$B25:$U25,"="&amp;H$1)/$B$103</f>
        <v>0</v>
      </c>
      <c r="I26" s="5">
        <f>COUNTIF(Réponses!$B25:$U25,"="&amp;I$1)/$B$103</f>
        <v>0.05</v>
      </c>
      <c r="J26" s="5">
        <f>COUNTIF(Réponses!$B25:$U25,"="&amp;J$1)/$B$103</f>
        <v>0</v>
      </c>
      <c r="K26" s="5">
        <f>COUNTIF(Réponses!$B25:$U25,"="&amp;K$1)/$B$103</f>
        <v>0</v>
      </c>
      <c r="L26" s="5">
        <f>COUNTIF(Réponses!$B25:$U25,"="&amp;L$1)/$B$103</f>
        <v>0</v>
      </c>
      <c r="M26" s="5">
        <f>COUNTIF(Réponses!$B25:$U25,"="&amp;M$1)/$B$103</f>
        <v>0</v>
      </c>
      <c r="N26" s="5">
        <f>COUNTIF(Réponses!$B25:$U25,"="&amp;N$1)/$B$103</f>
        <v>0</v>
      </c>
      <c r="O26" s="5">
        <f>COUNTIF(Réponses!$B25:$U25,"="&amp;O$1)/$B$103</f>
        <v>0</v>
      </c>
      <c r="P26" s="5">
        <f>COUNTIF(Réponses!$B25:$U25,"="&amp;P$1)/$B$103</f>
        <v>0</v>
      </c>
      <c r="Q26" s="5">
        <f>COUNTIF(Réponses!$B25:$U25,"="&amp;Q$1)/$B$103</f>
        <v>0</v>
      </c>
      <c r="R26" s="5">
        <f>COUNTIF(Réponses!$B25:$U25,"="&amp;R$1)/$B$103</f>
        <v>0</v>
      </c>
      <c r="S26" s="5">
        <f>COUNTIF(Réponses!$B25:$U25,"="&amp;S$1)/$B$103</f>
        <v>0</v>
      </c>
      <c r="T26" s="5">
        <f>COUNTIF(Réponses!$B25:$U25,"="&amp;T$1)/$B$103</f>
        <v>0</v>
      </c>
      <c r="U26" s="5">
        <f>COUNTIF(Réponses!$B25:$U25,"="&amp;U$1)/$B$103</f>
        <v>0</v>
      </c>
      <c r="V26" s="5">
        <f>COUNTIF(Réponses!$B25:$U25,"="&amp;V$1)/$B$103</f>
        <v>0</v>
      </c>
    </row>
    <row r="27" spans="1:22" x14ac:dyDescent="0.25">
      <c r="A27" s="1">
        <v>25</v>
      </c>
      <c r="B27" s="1">
        <f>INDEX(Cartes!$C$2:$C$101,MATCH($A27,Cartes!$A$2:$A$101,0))</f>
        <v>14</v>
      </c>
      <c r="C27" s="5">
        <f>COUNTIF(Réponses!$B26:$U26,"="&amp;C$1)/$B$103</f>
        <v>0</v>
      </c>
      <c r="D27" s="5">
        <f>COUNTIF(Réponses!$B26:$U26,"="&amp;D$1)/$B$103</f>
        <v>0</v>
      </c>
      <c r="E27" s="5">
        <f>COUNTIF(Réponses!$B26:$U26,"="&amp;E$1)/$B$103</f>
        <v>0.2</v>
      </c>
      <c r="F27" s="5">
        <f>COUNTIF(Réponses!$B26:$U26,"="&amp;F$1)/$B$103</f>
        <v>0</v>
      </c>
      <c r="G27" s="5">
        <f>COUNTIF(Réponses!$B26:$U26,"="&amp;G$1)/$B$103</f>
        <v>0</v>
      </c>
      <c r="H27" s="5">
        <f>COUNTIF(Réponses!$B26:$U26,"="&amp;H$1)/$B$103</f>
        <v>0</v>
      </c>
      <c r="I27" s="5">
        <f>COUNTIF(Réponses!$B26:$U26,"="&amp;I$1)/$B$103</f>
        <v>0</v>
      </c>
      <c r="J27" s="5">
        <f>COUNTIF(Réponses!$B26:$U26,"="&amp;J$1)/$B$103</f>
        <v>0</v>
      </c>
      <c r="K27" s="5">
        <f>COUNTIF(Réponses!$B26:$U26,"="&amp;K$1)/$B$103</f>
        <v>0</v>
      </c>
      <c r="L27" s="5">
        <f>COUNTIF(Réponses!$B26:$U26,"="&amp;L$1)/$B$103</f>
        <v>0</v>
      </c>
      <c r="M27" s="5">
        <f>COUNTIF(Réponses!$B26:$U26,"="&amp;M$1)/$B$103</f>
        <v>0</v>
      </c>
      <c r="N27" s="5">
        <f>COUNTIF(Réponses!$B26:$U26,"="&amp;N$1)/$B$103</f>
        <v>0</v>
      </c>
      <c r="O27" s="5">
        <f>COUNTIF(Réponses!$B26:$U26,"="&amp;O$1)/$B$103</f>
        <v>0</v>
      </c>
      <c r="P27" s="5">
        <f>COUNTIF(Réponses!$B26:$U26,"="&amp;P$1)/$B$103</f>
        <v>0.8</v>
      </c>
      <c r="Q27" s="5">
        <f>COUNTIF(Réponses!$B26:$U26,"="&amp;Q$1)/$B$103</f>
        <v>0</v>
      </c>
      <c r="R27" s="5">
        <f>COUNTIF(Réponses!$B26:$U26,"="&amp;R$1)/$B$103</f>
        <v>0</v>
      </c>
      <c r="S27" s="5">
        <f>COUNTIF(Réponses!$B26:$U26,"="&amp;S$1)/$B$103</f>
        <v>0</v>
      </c>
      <c r="T27" s="5">
        <f>COUNTIF(Réponses!$B26:$U26,"="&amp;T$1)/$B$103</f>
        <v>0</v>
      </c>
      <c r="U27" s="5">
        <f>COUNTIF(Réponses!$B26:$U26,"="&amp;U$1)/$B$103</f>
        <v>0</v>
      </c>
      <c r="V27" s="5">
        <f>COUNTIF(Réponses!$B26:$U26,"="&amp;V$1)/$B$103</f>
        <v>0</v>
      </c>
    </row>
    <row r="28" spans="1:22" x14ac:dyDescent="0.25">
      <c r="A28" s="1">
        <v>26</v>
      </c>
      <c r="B28" s="1">
        <f>INDEX(Cartes!$C$2:$C$101,MATCH($A28,Cartes!$A$2:$A$101,0))</f>
        <v>17</v>
      </c>
      <c r="C28" s="5">
        <f>COUNTIF(Réponses!$B27:$U27,"="&amp;C$1)/$B$103</f>
        <v>0</v>
      </c>
      <c r="D28" s="5">
        <f>COUNTIF(Réponses!$B27:$U27,"="&amp;D$1)/$B$103</f>
        <v>0</v>
      </c>
      <c r="E28" s="5">
        <f>COUNTIF(Réponses!$B27:$U27,"="&amp;E$1)/$B$103</f>
        <v>0</v>
      </c>
      <c r="F28" s="5">
        <f>COUNTIF(Réponses!$B27:$U27,"="&amp;F$1)/$B$103</f>
        <v>0</v>
      </c>
      <c r="G28" s="5">
        <f>COUNTIF(Réponses!$B27:$U27,"="&amp;G$1)/$B$103</f>
        <v>0</v>
      </c>
      <c r="H28" s="5">
        <f>COUNTIF(Réponses!$B27:$U27,"="&amp;H$1)/$B$103</f>
        <v>0</v>
      </c>
      <c r="I28" s="5">
        <f>COUNTIF(Réponses!$B27:$U27,"="&amp;I$1)/$B$103</f>
        <v>0</v>
      </c>
      <c r="J28" s="5">
        <f>COUNTIF(Réponses!$B27:$U27,"="&amp;J$1)/$B$103</f>
        <v>0</v>
      </c>
      <c r="K28" s="5">
        <f>COUNTIF(Réponses!$B27:$U27,"="&amp;K$1)/$B$103</f>
        <v>0</v>
      </c>
      <c r="L28" s="5">
        <f>COUNTIF(Réponses!$B27:$U27,"="&amp;L$1)/$B$103</f>
        <v>0</v>
      </c>
      <c r="M28" s="5">
        <f>COUNTIF(Réponses!$B27:$U27,"="&amp;M$1)/$B$103</f>
        <v>0</v>
      </c>
      <c r="N28" s="5">
        <f>COUNTIF(Réponses!$B27:$U27,"="&amp;N$1)/$B$103</f>
        <v>0</v>
      </c>
      <c r="O28" s="5">
        <f>COUNTIF(Réponses!$B27:$U27,"="&amp;O$1)/$B$103</f>
        <v>0</v>
      </c>
      <c r="P28" s="5">
        <f>COUNTIF(Réponses!$B27:$U27,"="&amp;P$1)/$B$103</f>
        <v>0</v>
      </c>
      <c r="Q28" s="5">
        <f>COUNTIF(Réponses!$B27:$U27,"="&amp;Q$1)/$B$103</f>
        <v>0</v>
      </c>
      <c r="R28" s="5">
        <f>COUNTIF(Réponses!$B27:$U27,"="&amp;R$1)/$B$103</f>
        <v>0</v>
      </c>
      <c r="S28" s="5">
        <f>COUNTIF(Réponses!$B27:$U27,"="&amp;S$1)/$B$103</f>
        <v>1</v>
      </c>
      <c r="T28" s="5">
        <f>COUNTIF(Réponses!$B27:$U27,"="&amp;T$1)/$B$103</f>
        <v>0</v>
      </c>
      <c r="U28" s="5">
        <f>COUNTIF(Réponses!$B27:$U27,"="&amp;U$1)/$B$103</f>
        <v>0</v>
      </c>
      <c r="V28" s="5">
        <f>COUNTIF(Réponses!$B27:$U27,"="&amp;V$1)/$B$103</f>
        <v>0</v>
      </c>
    </row>
    <row r="29" spans="1:22" x14ac:dyDescent="0.25">
      <c r="A29" s="1">
        <v>27</v>
      </c>
      <c r="B29" s="1">
        <f>INDEX(Cartes!$C$2:$C$101,MATCH($A29,Cartes!$A$2:$A$101,0))</f>
        <v>4</v>
      </c>
      <c r="C29" s="5">
        <f>COUNTIF(Réponses!$B28:$U28,"="&amp;C$1)/$B$103</f>
        <v>0</v>
      </c>
      <c r="D29" s="5">
        <f>COUNTIF(Réponses!$B28:$U28,"="&amp;D$1)/$B$103</f>
        <v>0</v>
      </c>
      <c r="E29" s="5">
        <f>COUNTIF(Réponses!$B28:$U28,"="&amp;E$1)/$B$103</f>
        <v>0</v>
      </c>
      <c r="F29" s="5">
        <f>COUNTIF(Réponses!$B28:$U28,"="&amp;F$1)/$B$103</f>
        <v>1</v>
      </c>
      <c r="G29" s="5">
        <f>COUNTIF(Réponses!$B28:$U28,"="&amp;G$1)/$B$103</f>
        <v>0</v>
      </c>
      <c r="H29" s="5">
        <f>COUNTIF(Réponses!$B28:$U28,"="&amp;H$1)/$B$103</f>
        <v>0</v>
      </c>
      <c r="I29" s="5">
        <f>COUNTIF(Réponses!$B28:$U28,"="&amp;I$1)/$B$103</f>
        <v>0</v>
      </c>
      <c r="J29" s="5">
        <f>COUNTIF(Réponses!$B28:$U28,"="&amp;J$1)/$B$103</f>
        <v>0</v>
      </c>
      <c r="K29" s="5">
        <f>COUNTIF(Réponses!$B28:$U28,"="&amp;K$1)/$B$103</f>
        <v>0</v>
      </c>
      <c r="L29" s="5">
        <f>COUNTIF(Réponses!$B28:$U28,"="&amp;L$1)/$B$103</f>
        <v>0</v>
      </c>
      <c r="M29" s="5">
        <f>COUNTIF(Réponses!$B28:$U28,"="&amp;M$1)/$B$103</f>
        <v>0</v>
      </c>
      <c r="N29" s="5">
        <f>COUNTIF(Réponses!$B28:$U28,"="&amp;N$1)/$B$103</f>
        <v>0</v>
      </c>
      <c r="O29" s="5">
        <f>COUNTIF(Réponses!$B28:$U28,"="&amp;O$1)/$B$103</f>
        <v>0</v>
      </c>
      <c r="P29" s="5">
        <f>COUNTIF(Réponses!$B28:$U28,"="&amp;P$1)/$B$103</f>
        <v>0</v>
      </c>
      <c r="Q29" s="5">
        <f>COUNTIF(Réponses!$B28:$U28,"="&amp;Q$1)/$B$103</f>
        <v>0</v>
      </c>
      <c r="R29" s="5">
        <f>COUNTIF(Réponses!$B28:$U28,"="&amp;R$1)/$B$103</f>
        <v>0</v>
      </c>
      <c r="S29" s="5">
        <f>COUNTIF(Réponses!$B28:$U28,"="&amp;S$1)/$B$103</f>
        <v>0</v>
      </c>
      <c r="T29" s="5">
        <f>COUNTIF(Réponses!$B28:$U28,"="&amp;T$1)/$B$103</f>
        <v>0</v>
      </c>
      <c r="U29" s="5">
        <f>COUNTIF(Réponses!$B28:$U28,"="&amp;U$1)/$B$103</f>
        <v>0</v>
      </c>
      <c r="V29" s="5">
        <f>COUNTIF(Réponses!$B28:$U28,"="&amp;V$1)/$B$103</f>
        <v>0</v>
      </c>
    </row>
    <row r="30" spans="1:22" x14ac:dyDescent="0.25">
      <c r="A30" s="1">
        <v>28</v>
      </c>
      <c r="B30" s="1">
        <f>INDEX(Cartes!$C$2:$C$101,MATCH($A30,Cartes!$A$2:$A$101,0))</f>
        <v>6</v>
      </c>
      <c r="C30" s="5">
        <f>COUNTIF(Réponses!$B29:$U29,"="&amp;C$1)/$B$103</f>
        <v>0</v>
      </c>
      <c r="D30" s="5">
        <f>COUNTIF(Réponses!$B29:$U29,"="&amp;D$1)/$B$103</f>
        <v>0</v>
      </c>
      <c r="E30" s="5">
        <f>COUNTIF(Réponses!$B29:$U29,"="&amp;E$1)/$B$103</f>
        <v>0</v>
      </c>
      <c r="F30" s="5">
        <f>COUNTIF(Réponses!$B29:$U29,"="&amp;F$1)/$B$103</f>
        <v>0</v>
      </c>
      <c r="G30" s="5">
        <f>COUNTIF(Réponses!$B29:$U29,"="&amp;G$1)/$B$103</f>
        <v>0</v>
      </c>
      <c r="H30" s="5">
        <f>COUNTIF(Réponses!$B29:$U29,"="&amp;H$1)/$B$103</f>
        <v>1</v>
      </c>
      <c r="I30" s="5">
        <f>COUNTIF(Réponses!$B29:$U29,"="&amp;I$1)/$B$103</f>
        <v>0</v>
      </c>
      <c r="J30" s="5">
        <f>COUNTIF(Réponses!$B29:$U29,"="&amp;J$1)/$B$103</f>
        <v>0</v>
      </c>
      <c r="K30" s="5">
        <f>COUNTIF(Réponses!$B29:$U29,"="&amp;K$1)/$B$103</f>
        <v>0</v>
      </c>
      <c r="L30" s="5">
        <f>COUNTIF(Réponses!$B29:$U29,"="&amp;L$1)/$B$103</f>
        <v>0</v>
      </c>
      <c r="M30" s="5">
        <f>COUNTIF(Réponses!$B29:$U29,"="&amp;M$1)/$B$103</f>
        <v>0</v>
      </c>
      <c r="N30" s="5">
        <f>COUNTIF(Réponses!$B29:$U29,"="&amp;N$1)/$B$103</f>
        <v>0</v>
      </c>
      <c r="O30" s="5">
        <f>COUNTIF(Réponses!$B29:$U29,"="&amp;O$1)/$B$103</f>
        <v>0</v>
      </c>
      <c r="P30" s="5">
        <f>COUNTIF(Réponses!$B29:$U29,"="&amp;P$1)/$B$103</f>
        <v>0</v>
      </c>
      <c r="Q30" s="5">
        <f>COUNTIF(Réponses!$B29:$U29,"="&amp;Q$1)/$B$103</f>
        <v>0</v>
      </c>
      <c r="R30" s="5">
        <f>COUNTIF(Réponses!$B29:$U29,"="&amp;R$1)/$B$103</f>
        <v>0</v>
      </c>
      <c r="S30" s="5">
        <f>COUNTIF(Réponses!$B29:$U29,"="&amp;S$1)/$B$103</f>
        <v>0</v>
      </c>
      <c r="T30" s="5">
        <f>COUNTIF(Réponses!$B29:$U29,"="&amp;T$1)/$B$103</f>
        <v>0</v>
      </c>
      <c r="U30" s="5">
        <f>COUNTIF(Réponses!$B29:$U29,"="&amp;U$1)/$B$103</f>
        <v>0</v>
      </c>
      <c r="V30" s="5">
        <f>COUNTIF(Réponses!$B29:$U29,"="&amp;V$1)/$B$103</f>
        <v>0</v>
      </c>
    </row>
    <row r="31" spans="1:22" x14ac:dyDescent="0.25">
      <c r="A31" s="1">
        <v>29</v>
      </c>
      <c r="B31" s="1">
        <f>INDEX(Cartes!$C$2:$C$101,MATCH($A31,Cartes!$A$2:$A$101,0))</f>
        <v>7</v>
      </c>
      <c r="C31" s="5">
        <f>COUNTIF(Réponses!$B30:$U30,"="&amp;C$1)/$B$103</f>
        <v>0</v>
      </c>
      <c r="D31" s="5">
        <f>COUNTIF(Réponses!$B30:$U30,"="&amp;D$1)/$B$103</f>
        <v>0</v>
      </c>
      <c r="E31" s="5">
        <f>COUNTIF(Réponses!$B30:$U30,"="&amp;E$1)/$B$103</f>
        <v>0</v>
      </c>
      <c r="F31" s="5">
        <f>COUNTIF(Réponses!$B30:$U30,"="&amp;F$1)/$B$103</f>
        <v>0.05</v>
      </c>
      <c r="G31" s="5">
        <f>COUNTIF(Réponses!$B30:$U30,"="&amp;G$1)/$B$103</f>
        <v>0</v>
      </c>
      <c r="H31" s="5">
        <f>COUNTIF(Réponses!$B30:$U30,"="&amp;H$1)/$B$103</f>
        <v>0</v>
      </c>
      <c r="I31" s="5">
        <f>COUNTIF(Réponses!$B30:$U30,"="&amp;I$1)/$B$103</f>
        <v>0.9</v>
      </c>
      <c r="J31" s="5">
        <f>COUNTIF(Réponses!$B30:$U30,"="&amp;J$1)/$B$103</f>
        <v>0</v>
      </c>
      <c r="K31" s="5">
        <f>COUNTIF(Réponses!$B30:$U30,"="&amp;K$1)/$B$103</f>
        <v>0</v>
      </c>
      <c r="L31" s="5">
        <f>COUNTIF(Réponses!$B30:$U30,"="&amp;L$1)/$B$103</f>
        <v>0</v>
      </c>
      <c r="M31" s="5">
        <f>COUNTIF(Réponses!$B30:$U30,"="&amp;M$1)/$B$103</f>
        <v>0</v>
      </c>
      <c r="N31" s="5">
        <f>COUNTIF(Réponses!$B30:$U30,"="&amp;N$1)/$B$103</f>
        <v>0</v>
      </c>
      <c r="O31" s="5">
        <f>COUNTIF(Réponses!$B30:$U30,"="&amp;O$1)/$B$103</f>
        <v>0</v>
      </c>
      <c r="P31" s="5">
        <f>COUNTIF(Réponses!$B30:$U30,"="&amp;P$1)/$B$103</f>
        <v>0</v>
      </c>
      <c r="Q31" s="5">
        <f>COUNTIF(Réponses!$B30:$U30,"="&amp;Q$1)/$B$103</f>
        <v>0</v>
      </c>
      <c r="R31" s="5">
        <f>COUNTIF(Réponses!$B30:$U30,"="&amp;R$1)/$B$103</f>
        <v>0.05</v>
      </c>
      <c r="S31" s="5">
        <f>COUNTIF(Réponses!$B30:$U30,"="&amp;S$1)/$B$103</f>
        <v>0</v>
      </c>
      <c r="T31" s="5">
        <f>COUNTIF(Réponses!$B30:$U30,"="&amp;T$1)/$B$103</f>
        <v>0</v>
      </c>
      <c r="U31" s="5">
        <f>COUNTIF(Réponses!$B30:$U30,"="&amp;U$1)/$B$103</f>
        <v>0</v>
      </c>
      <c r="V31" s="5">
        <f>COUNTIF(Réponses!$B30:$U30,"="&amp;V$1)/$B$103</f>
        <v>0</v>
      </c>
    </row>
    <row r="32" spans="1:22" x14ac:dyDescent="0.25">
      <c r="A32" s="1">
        <v>30</v>
      </c>
      <c r="B32" s="1">
        <f>INDEX(Cartes!$C$2:$C$101,MATCH($A32,Cartes!$A$2:$A$101,0))</f>
        <v>14</v>
      </c>
      <c r="C32" s="5">
        <f>COUNTIF(Réponses!$B31:$U31,"="&amp;C$1)/$B$103</f>
        <v>0</v>
      </c>
      <c r="D32" s="5">
        <f>COUNTIF(Réponses!$B31:$U31,"="&amp;D$1)/$B$103</f>
        <v>0</v>
      </c>
      <c r="E32" s="5">
        <f>COUNTIF(Réponses!$B31:$U31,"="&amp;E$1)/$B$103</f>
        <v>0.15</v>
      </c>
      <c r="F32" s="5">
        <f>COUNTIF(Réponses!$B31:$U31,"="&amp;F$1)/$B$103</f>
        <v>0</v>
      </c>
      <c r="G32" s="5">
        <f>COUNTIF(Réponses!$B31:$U31,"="&amp;G$1)/$B$103</f>
        <v>0</v>
      </c>
      <c r="H32" s="5">
        <f>COUNTIF(Réponses!$B31:$U31,"="&amp;H$1)/$B$103</f>
        <v>0</v>
      </c>
      <c r="I32" s="5">
        <f>COUNTIF(Réponses!$B31:$U31,"="&amp;I$1)/$B$103</f>
        <v>0</v>
      </c>
      <c r="J32" s="5">
        <f>COUNTIF(Réponses!$B31:$U31,"="&amp;J$1)/$B$103</f>
        <v>0</v>
      </c>
      <c r="K32" s="5">
        <f>COUNTIF(Réponses!$B31:$U31,"="&amp;K$1)/$B$103</f>
        <v>0</v>
      </c>
      <c r="L32" s="5">
        <f>COUNTIF(Réponses!$B31:$U31,"="&amp;L$1)/$B$103</f>
        <v>0</v>
      </c>
      <c r="M32" s="5">
        <f>COUNTIF(Réponses!$B31:$U31,"="&amp;M$1)/$B$103</f>
        <v>0</v>
      </c>
      <c r="N32" s="5">
        <f>COUNTIF(Réponses!$B31:$U31,"="&amp;N$1)/$B$103</f>
        <v>0</v>
      </c>
      <c r="O32" s="5">
        <f>COUNTIF(Réponses!$B31:$U31,"="&amp;O$1)/$B$103</f>
        <v>0</v>
      </c>
      <c r="P32" s="5">
        <f>COUNTIF(Réponses!$B31:$U31,"="&amp;P$1)/$B$103</f>
        <v>0.85</v>
      </c>
      <c r="Q32" s="5">
        <f>COUNTIF(Réponses!$B31:$U31,"="&amp;Q$1)/$B$103</f>
        <v>0</v>
      </c>
      <c r="R32" s="5">
        <f>COUNTIF(Réponses!$B31:$U31,"="&amp;R$1)/$B$103</f>
        <v>0</v>
      </c>
      <c r="S32" s="5">
        <f>COUNTIF(Réponses!$B31:$U31,"="&amp;S$1)/$B$103</f>
        <v>0</v>
      </c>
      <c r="T32" s="5">
        <f>COUNTIF(Réponses!$B31:$U31,"="&amp;T$1)/$B$103</f>
        <v>0</v>
      </c>
      <c r="U32" s="5">
        <f>COUNTIF(Réponses!$B31:$U31,"="&amp;U$1)/$B$103</f>
        <v>0</v>
      </c>
      <c r="V32" s="5">
        <f>COUNTIF(Réponses!$B31:$U31,"="&amp;V$1)/$B$103</f>
        <v>0</v>
      </c>
    </row>
    <row r="33" spans="1:22" x14ac:dyDescent="0.25">
      <c r="A33" s="1">
        <v>31</v>
      </c>
      <c r="B33" s="1">
        <f>INDEX(Cartes!$C$2:$C$101,MATCH($A33,Cartes!$A$2:$A$101,0))</f>
        <v>3</v>
      </c>
      <c r="C33" s="5">
        <f>COUNTIF(Réponses!$B32:$U32,"="&amp;C$1)/$B$103</f>
        <v>0</v>
      </c>
      <c r="D33" s="5">
        <f>COUNTIF(Réponses!$B32:$U32,"="&amp;D$1)/$B$103</f>
        <v>0</v>
      </c>
      <c r="E33" s="5">
        <f>COUNTIF(Réponses!$B32:$U32,"="&amp;E$1)/$B$103</f>
        <v>1</v>
      </c>
      <c r="F33" s="5">
        <f>COUNTIF(Réponses!$B32:$U32,"="&amp;F$1)/$B$103</f>
        <v>0</v>
      </c>
      <c r="G33" s="5">
        <f>COUNTIF(Réponses!$B32:$U32,"="&amp;G$1)/$B$103</f>
        <v>0</v>
      </c>
      <c r="H33" s="5">
        <f>COUNTIF(Réponses!$B32:$U32,"="&amp;H$1)/$B$103</f>
        <v>0</v>
      </c>
      <c r="I33" s="5">
        <f>COUNTIF(Réponses!$B32:$U32,"="&amp;I$1)/$B$103</f>
        <v>0</v>
      </c>
      <c r="J33" s="5">
        <f>COUNTIF(Réponses!$B32:$U32,"="&amp;J$1)/$B$103</f>
        <v>0</v>
      </c>
      <c r="K33" s="5">
        <f>COUNTIF(Réponses!$B32:$U32,"="&amp;K$1)/$B$103</f>
        <v>0</v>
      </c>
      <c r="L33" s="5">
        <f>COUNTIF(Réponses!$B32:$U32,"="&amp;L$1)/$B$103</f>
        <v>0</v>
      </c>
      <c r="M33" s="5">
        <f>COUNTIF(Réponses!$B32:$U32,"="&amp;M$1)/$B$103</f>
        <v>0</v>
      </c>
      <c r="N33" s="5">
        <f>COUNTIF(Réponses!$B32:$U32,"="&amp;N$1)/$B$103</f>
        <v>0</v>
      </c>
      <c r="O33" s="5">
        <f>COUNTIF(Réponses!$B32:$U32,"="&amp;O$1)/$B$103</f>
        <v>0</v>
      </c>
      <c r="P33" s="5">
        <f>COUNTIF(Réponses!$B32:$U32,"="&amp;P$1)/$B$103</f>
        <v>0</v>
      </c>
      <c r="Q33" s="5">
        <f>COUNTIF(Réponses!$B32:$U32,"="&amp;Q$1)/$B$103</f>
        <v>0</v>
      </c>
      <c r="R33" s="5">
        <f>COUNTIF(Réponses!$B32:$U32,"="&amp;R$1)/$B$103</f>
        <v>0</v>
      </c>
      <c r="S33" s="5">
        <f>COUNTIF(Réponses!$B32:$U32,"="&amp;S$1)/$B$103</f>
        <v>0</v>
      </c>
      <c r="T33" s="5">
        <f>COUNTIF(Réponses!$B32:$U32,"="&amp;T$1)/$B$103</f>
        <v>0</v>
      </c>
      <c r="U33" s="5">
        <f>COUNTIF(Réponses!$B32:$U32,"="&amp;U$1)/$B$103</f>
        <v>0</v>
      </c>
      <c r="V33" s="5">
        <f>COUNTIF(Réponses!$B32:$U32,"="&amp;V$1)/$B$103</f>
        <v>0</v>
      </c>
    </row>
    <row r="34" spans="1:22" x14ac:dyDescent="0.25">
      <c r="A34" s="1">
        <v>32</v>
      </c>
      <c r="B34" s="1">
        <f>INDEX(Cartes!$C$2:$C$101,MATCH($A34,Cartes!$A$2:$A$101,0))</f>
        <v>17</v>
      </c>
      <c r="C34" s="5">
        <f>COUNTIF(Réponses!$B33:$U33,"="&amp;C$1)/$B$103</f>
        <v>0</v>
      </c>
      <c r="D34" s="5">
        <f>COUNTIF(Réponses!$B33:$U33,"="&amp;D$1)/$B$103</f>
        <v>0</v>
      </c>
      <c r="E34" s="5">
        <f>COUNTIF(Réponses!$B33:$U33,"="&amp;E$1)/$B$103</f>
        <v>0</v>
      </c>
      <c r="F34" s="5">
        <f>COUNTIF(Réponses!$B33:$U33,"="&amp;F$1)/$B$103</f>
        <v>0</v>
      </c>
      <c r="G34" s="5">
        <f>COUNTIF(Réponses!$B33:$U33,"="&amp;G$1)/$B$103</f>
        <v>0</v>
      </c>
      <c r="H34" s="5">
        <f>COUNTIF(Réponses!$B33:$U33,"="&amp;H$1)/$B$103</f>
        <v>0</v>
      </c>
      <c r="I34" s="5">
        <f>COUNTIF(Réponses!$B33:$U33,"="&amp;I$1)/$B$103</f>
        <v>0</v>
      </c>
      <c r="J34" s="5">
        <f>COUNTIF(Réponses!$B33:$U33,"="&amp;J$1)/$B$103</f>
        <v>0</v>
      </c>
      <c r="K34" s="5">
        <f>COUNTIF(Réponses!$B33:$U33,"="&amp;K$1)/$B$103</f>
        <v>0</v>
      </c>
      <c r="L34" s="5">
        <f>COUNTIF(Réponses!$B33:$U33,"="&amp;L$1)/$B$103</f>
        <v>0</v>
      </c>
      <c r="M34" s="5">
        <f>COUNTIF(Réponses!$B33:$U33,"="&amp;M$1)/$B$103</f>
        <v>0</v>
      </c>
      <c r="N34" s="5">
        <f>COUNTIF(Réponses!$B33:$U33,"="&amp;N$1)/$B$103</f>
        <v>0</v>
      </c>
      <c r="O34" s="5">
        <f>COUNTIF(Réponses!$B33:$U33,"="&amp;O$1)/$B$103</f>
        <v>0</v>
      </c>
      <c r="P34" s="5">
        <f>COUNTIF(Réponses!$B33:$U33,"="&amp;P$1)/$B$103</f>
        <v>0</v>
      </c>
      <c r="Q34" s="5">
        <f>COUNTIF(Réponses!$B33:$U33,"="&amp;Q$1)/$B$103</f>
        <v>0</v>
      </c>
      <c r="R34" s="5">
        <f>COUNTIF(Réponses!$B33:$U33,"="&amp;R$1)/$B$103</f>
        <v>0</v>
      </c>
      <c r="S34" s="5">
        <f>COUNTIF(Réponses!$B33:$U33,"="&amp;S$1)/$B$103</f>
        <v>1</v>
      </c>
      <c r="T34" s="5">
        <f>COUNTIF(Réponses!$B33:$U33,"="&amp;T$1)/$B$103</f>
        <v>0</v>
      </c>
      <c r="U34" s="5">
        <f>COUNTIF(Réponses!$B33:$U33,"="&amp;U$1)/$B$103</f>
        <v>0</v>
      </c>
      <c r="V34" s="5">
        <f>COUNTIF(Réponses!$B33:$U33,"="&amp;V$1)/$B$103</f>
        <v>0</v>
      </c>
    </row>
    <row r="35" spans="1:22" x14ac:dyDescent="0.25">
      <c r="A35" s="1">
        <v>33</v>
      </c>
      <c r="B35" s="1">
        <f>INDEX(Cartes!$C$2:$C$101,MATCH($A35,Cartes!$A$2:$A$101,0))</f>
        <v>1</v>
      </c>
      <c r="C35" s="5">
        <f>COUNTIF(Réponses!$B34:$U34,"="&amp;C$1)/$B$103</f>
        <v>1</v>
      </c>
      <c r="D35" s="5">
        <f>COUNTIF(Réponses!$B34:$U34,"="&amp;D$1)/$B$103</f>
        <v>0</v>
      </c>
      <c r="E35" s="5">
        <f>COUNTIF(Réponses!$B34:$U34,"="&amp;E$1)/$B$103</f>
        <v>0</v>
      </c>
      <c r="F35" s="5">
        <f>COUNTIF(Réponses!$B34:$U34,"="&amp;F$1)/$B$103</f>
        <v>0</v>
      </c>
      <c r="G35" s="5">
        <f>COUNTIF(Réponses!$B34:$U34,"="&amp;G$1)/$B$103</f>
        <v>0</v>
      </c>
      <c r="H35" s="5">
        <f>COUNTIF(Réponses!$B34:$U34,"="&amp;H$1)/$B$103</f>
        <v>0</v>
      </c>
      <c r="I35" s="5">
        <f>COUNTIF(Réponses!$B34:$U34,"="&amp;I$1)/$B$103</f>
        <v>0</v>
      </c>
      <c r="J35" s="5">
        <f>COUNTIF(Réponses!$B34:$U34,"="&amp;J$1)/$B$103</f>
        <v>0</v>
      </c>
      <c r="K35" s="5">
        <f>COUNTIF(Réponses!$B34:$U34,"="&amp;K$1)/$B$103</f>
        <v>0</v>
      </c>
      <c r="L35" s="5">
        <f>COUNTIF(Réponses!$B34:$U34,"="&amp;L$1)/$B$103</f>
        <v>0</v>
      </c>
      <c r="M35" s="5">
        <f>COUNTIF(Réponses!$B34:$U34,"="&amp;M$1)/$B$103</f>
        <v>0</v>
      </c>
      <c r="N35" s="5">
        <f>COUNTIF(Réponses!$B34:$U34,"="&amp;N$1)/$B$103</f>
        <v>0</v>
      </c>
      <c r="O35" s="5">
        <f>COUNTIF(Réponses!$B34:$U34,"="&amp;O$1)/$B$103</f>
        <v>0</v>
      </c>
      <c r="P35" s="5">
        <f>COUNTIF(Réponses!$B34:$U34,"="&amp;P$1)/$B$103</f>
        <v>0</v>
      </c>
      <c r="Q35" s="5">
        <f>COUNTIF(Réponses!$B34:$U34,"="&amp;Q$1)/$B$103</f>
        <v>0</v>
      </c>
      <c r="R35" s="5">
        <f>COUNTIF(Réponses!$B34:$U34,"="&amp;R$1)/$B$103</f>
        <v>0</v>
      </c>
      <c r="S35" s="5">
        <f>COUNTIF(Réponses!$B34:$U34,"="&amp;S$1)/$B$103</f>
        <v>0</v>
      </c>
      <c r="T35" s="5">
        <f>COUNTIF(Réponses!$B34:$U34,"="&amp;T$1)/$B$103</f>
        <v>0</v>
      </c>
      <c r="U35" s="5">
        <f>COUNTIF(Réponses!$B34:$U34,"="&amp;U$1)/$B$103</f>
        <v>0</v>
      </c>
      <c r="V35" s="5">
        <f>COUNTIF(Réponses!$B34:$U34,"="&amp;V$1)/$B$103</f>
        <v>0</v>
      </c>
    </row>
    <row r="36" spans="1:22" x14ac:dyDescent="0.25">
      <c r="A36" s="1">
        <v>34</v>
      </c>
      <c r="B36" s="1">
        <f>INDEX(Cartes!$C$2:$C$101,MATCH($A36,Cartes!$A$2:$A$101,0))</f>
        <v>8</v>
      </c>
      <c r="C36" s="5">
        <f>COUNTIF(Réponses!$B35:$U35,"="&amp;C$1)/$B$103</f>
        <v>0</v>
      </c>
      <c r="D36" s="5">
        <f>COUNTIF(Réponses!$B35:$U35,"="&amp;D$1)/$B$103</f>
        <v>0</v>
      </c>
      <c r="E36" s="5">
        <f>COUNTIF(Réponses!$B35:$U35,"="&amp;E$1)/$B$103</f>
        <v>0</v>
      </c>
      <c r="F36" s="5">
        <f>COUNTIF(Réponses!$B35:$U35,"="&amp;F$1)/$B$103</f>
        <v>0</v>
      </c>
      <c r="G36" s="5">
        <f>COUNTIF(Réponses!$B35:$U35,"="&amp;G$1)/$B$103</f>
        <v>0</v>
      </c>
      <c r="H36" s="5">
        <f>COUNTIF(Réponses!$B35:$U35,"="&amp;H$1)/$B$103</f>
        <v>0</v>
      </c>
      <c r="I36" s="5">
        <f>COUNTIF(Réponses!$B35:$U35,"="&amp;I$1)/$B$103</f>
        <v>0</v>
      </c>
      <c r="J36" s="5">
        <f>COUNTIF(Réponses!$B35:$U35,"="&amp;J$1)/$B$103</f>
        <v>1</v>
      </c>
      <c r="K36" s="5">
        <f>COUNTIF(Réponses!$B35:$U35,"="&amp;K$1)/$B$103</f>
        <v>0</v>
      </c>
      <c r="L36" s="5">
        <f>COUNTIF(Réponses!$B35:$U35,"="&amp;L$1)/$B$103</f>
        <v>0</v>
      </c>
      <c r="M36" s="5">
        <f>COUNTIF(Réponses!$B35:$U35,"="&amp;M$1)/$B$103</f>
        <v>0</v>
      </c>
      <c r="N36" s="5">
        <f>COUNTIF(Réponses!$B35:$U35,"="&amp;N$1)/$B$103</f>
        <v>0</v>
      </c>
      <c r="O36" s="5">
        <f>COUNTIF(Réponses!$B35:$U35,"="&amp;O$1)/$B$103</f>
        <v>0</v>
      </c>
      <c r="P36" s="5">
        <f>COUNTIF(Réponses!$B35:$U35,"="&amp;P$1)/$B$103</f>
        <v>0</v>
      </c>
      <c r="Q36" s="5">
        <f>COUNTIF(Réponses!$B35:$U35,"="&amp;Q$1)/$B$103</f>
        <v>0</v>
      </c>
      <c r="R36" s="5">
        <f>COUNTIF(Réponses!$B35:$U35,"="&amp;R$1)/$B$103</f>
        <v>0</v>
      </c>
      <c r="S36" s="5">
        <f>COUNTIF(Réponses!$B35:$U35,"="&amp;S$1)/$B$103</f>
        <v>0</v>
      </c>
      <c r="T36" s="5">
        <f>COUNTIF(Réponses!$B35:$U35,"="&amp;T$1)/$B$103</f>
        <v>0</v>
      </c>
      <c r="U36" s="5">
        <f>COUNTIF(Réponses!$B35:$U35,"="&amp;U$1)/$B$103</f>
        <v>0</v>
      </c>
      <c r="V36" s="5">
        <f>COUNTIF(Réponses!$B35:$U35,"="&amp;V$1)/$B$103</f>
        <v>0</v>
      </c>
    </row>
    <row r="37" spans="1:22" x14ac:dyDescent="0.25">
      <c r="A37" s="1">
        <v>35</v>
      </c>
      <c r="B37" s="1">
        <f>INDEX(Cartes!$C$2:$C$101,MATCH($A37,Cartes!$A$2:$A$101,0))</f>
        <v>19</v>
      </c>
      <c r="C37" s="5">
        <f>COUNTIF(Réponses!$B36:$U36,"="&amp;C$1)/$B$103</f>
        <v>0</v>
      </c>
      <c r="D37" s="5">
        <f>COUNTIF(Réponses!$B36:$U36,"="&amp;D$1)/$B$103</f>
        <v>0</v>
      </c>
      <c r="E37" s="5">
        <f>COUNTIF(Réponses!$B36:$U36,"="&amp;E$1)/$B$103</f>
        <v>0</v>
      </c>
      <c r="F37" s="5">
        <f>COUNTIF(Réponses!$B36:$U36,"="&amp;F$1)/$B$103</f>
        <v>0</v>
      </c>
      <c r="G37" s="5">
        <f>COUNTIF(Réponses!$B36:$U36,"="&amp;G$1)/$B$103</f>
        <v>0</v>
      </c>
      <c r="H37" s="5">
        <f>COUNTIF(Réponses!$B36:$U36,"="&amp;H$1)/$B$103</f>
        <v>0</v>
      </c>
      <c r="I37" s="5">
        <f>COUNTIF(Réponses!$B36:$U36,"="&amp;I$1)/$B$103</f>
        <v>0</v>
      </c>
      <c r="J37" s="5">
        <f>COUNTIF(Réponses!$B36:$U36,"="&amp;J$1)/$B$103</f>
        <v>0</v>
      </c>
      <c r="K37" s="5">
        <f>COUNTIF(Réponses!$B36:$U36,"="&amp;K$1)/$B$103</f>
        <v>0</v>
      </c>
      <c r="L37" s="5">
        <f>COUNTIF(Réponses!$B36:$U36,"="&amp;L$1)/$B$103</f>
        <v>0</v>
      </c>
      <c r="M37" s="5">
        <f>COUNTIF(Réponses!$B36:$U36,"="&amp;M$1)/$B$103</f>
        <v>0</v>
      </c>
      <c r="N37" s="5">
        <f>COUNTIF(Réponses!$B36:$U36,"="&amp;N$1)/$B$103</f>
        <v>0</v>
      </c>
      <c r="O37" s="5">
        <f>COUNTIF(Réponses!$B36:$U36,"="&amp;O$1)/$B$103</f>
        <v>0</v>
      </c>
      <c r="P37" s="5">
        <f>COUNTIF(Réponses!$B36:$U36,"="&amp;P$1)/$B$103</f>
        <v>0</v>
      </c>
      <c r="Q37" s="5">
        <f>COUNTIF(Réponses!$B36:$U36,"="&amp;Q$1)/$B$103</f>
        <v>0</v>
      </c>
      <c r="R37" s="5">
        <f>COUNTIF(Réponses!$B36:$U36,"="&amp;R$1)/$B$103</f>
        <v>0</v>
      </c>
      <c r="S37" s="5">
        <f>COUNTIF(Réponses!$B36:$U36,"="&amp;S$1)/$B$103</f>
        <v>0</v>
      </c>
      <c r="T37" s="5">
        <f>COUNTIF(Réponses!$B36:$U36,"="&amp;T$1)/$B$103</f>
        <v>0</v>
      </c>
      <c r="U37" s="5">
        <f>COUNTIF(Réponses!$B36:$U36,"="&amp;U$1)/$B$103</f>
        <v>1</v>
      </c>
      <c r="V37" s="5">
        <f>COUNTIF(Réponses!$B36:$U36,"="&amp;V$1)/$B$103</f>
        <v>0</v>
      </c>
    </row>
    <row r="38" spans="1:22" x14ac:dyDescent="0.25">
      <c r="A38" s="1">
        <v>36</v>
      </c>
      <c r="B38" s="1">
        <f>INDEX(Cartes!$C$2:$C$101,MATCH($A38,Cartes!$A$2:$A$101,0))</f>
        <v>10</v>
      </c>
      <c r="C38" s="5">
        <f>COUNTIF(Réponses!$B37:$U37,"="&amp;C$1)/$B$103</f>
        <v>0</v>
      </c>
      <c r="D38" s="5">
        <f>COUNTIF(Réponses!$B37:$U37,"="&amp;D$1)/$B$103</f>
        <v>0</v>
      </c>
      <c r="E38" s="5">
        <f>COUNTIF(Réponses!$B37:$U37,"="&amp;E$1)/$B$103</f>
        <v>0</v>
      </c>
      <c r="F38" s="5">
        <f>COUNTIF(Réponses!$B37:$U37,"="&amp;F$1)/$B$103</f>
        <v>0</v>
      </c>
      <c r="G38" s="5">
        <f>COUNTIF(Réponses!$B37:$U37,"="&amp;G$1)/$B$103</f>
        <v>0</v>
      </c>
      <c r="H38" s="5">
        <f>COUNTIF(Réponses!$B37:$U37,"="&amp;H$1)/$B$103</f>
        <v>0</v>
      </c>
      <c r="I38" s="5">
        <f>COUNTIF(Réponses!$B37:$U37,"="&amp;I$1)/$B$103</f>
        <v>0</v>
      </c>
      <c r="J38" s="5">
        <f>COUNTIF(Réponses!$B37:$U37,"="&amp;J$1)/$B$103</f>
        <v>0</v>
      </c>
      <c r="K38" s="5">
        <f>COUNTIF(Réponses!$B37:$U37,"="&amp;K$1)/$B$103</f>
        <v>0</v>
      </c>
      <c r="L38" s="5">
        <f>COUNTIF(Réponses!$B37:$U37,"="&amp;L$1)/$B$103</f>
        <v>1</v>
      </c>
      <c r="M38" s="5">
        <f>COUNTIF(Réponses!$B37:$U37,"="&amp;M$1)/$B$103</f>
        <v>0</v>
      </c>
      <c r="N38" s="5">
        <f>COUNTIF(Réponses!$B37:$U37,"="&amp;N$1)/$B$103</f>
        <v>0</v>
      </c>
      <c r="O38" s="5">
        <f>COUNTIF(Réponses!$B37:$U37,"="&amp;O$1)/$B$103</f>
        <v>0</v>
      </c>
      <c r="P38" s="5">
        <f>COUNTIF(Réponses!$B37:$U37,"="&amp;P$1)/$B$103</f>
        <v>0</v>
      </c>
      <c r="Q38" s="5">
        <f>COUNTIF(Réponses!$B37:$U37,"="&amp;Q$1)/$B$103</f>
        <v>0</v>
      </c>
      <c r="R38" s="5">
        <f>COUNTIF(Réponses!$B37:$U37,"="&amp;R$1)/$B$103</f>
        <v>0</v>
      </c>
      <c r="S38" s="5">
        <f>COUNTIF(Réponses!$B37:$U37,"="&amp;S$1)/$B$103</f>
        <v>0</v>
      </c>
      <c r="T38" s="5">
        <f>COUNTIF(Réponses!$B37:$U37,"="&amp;T$1)/$B$103</f>
        <v>0</v>
      </c>
      <c r="U38" s="5">
        <f>COUNTIF(Réponses!$B37:$U37,"="&amp;U$1)/$B$103</f>
        <v>0</v>
      </c>
      <c r="V38" s="5">
        <f>COUNTIF(Réponses!$B37:$U37,"="&amp;V$1)/$B$103</f>
        <v>0</v>
      </c>
    </row>
    <row r="39" spans="1:22" x14ac:dyDescent="0.25">
      <c r="A39" s="1">
        <v>37</v>
      </c>
      <c r="B39" s="1">
        <f>INDEX(Cartes!$C$2:$C$101,MATCH($A39,Cartes!$A$2:$A$101,0))</f>
        <v>6</v>
      </c>
      <c r="C39" s="5">
        <f>COUNTIF(Réponses!$B38:$U38,"="&amp;C$1)/$B$103</f>
        <v>0</v>
      </c>
      <c r="D39" s="5">
        <f>COUNTIF(Réponses!$B38:$U38,"="&amp;D$1)/$B$103</f>
        <v>0</v>
      </c>
      <c r="E39" s="5">
        <f>COUNTIF(Réponses!$B38:$U38,"="&amp;E$1)/$B$103</f>
        <v>0</v>
      </c>
      <c r="F39" s="5">
        <f>COUNTIF(Réponses!$B38:$U38,"="&amp;F$1)/$B$103</f>
        <v>0</v>
      </c>
      <c r="G39" s="5">
        <f>COUNTIF(Réponses!$B38:$U38,"="&amp;G$1)/$B$103</f>
        <v>0</v>
      </c>
      <c r="H39" s="5">
        <f>COUNTIF(Réponses!$B38:$U38,"="&amp;H$1)/$B$103</f>
        <v>1</v>
      </c>
      <c r="I39" s="5">
        <f>COUNTIF(Réponses!$B38:$U38,"="&amp;I$1)/$B$103</f>
        <v>0</v>
      </c>
      <c r="J39" s="5">
        <f>COUNTIF(Réponses!$B38:$U38,"="&amp;J$1)/$B$103</f>
        <v>0</v>
      </c>
      <c r="K39" s="5">
        <f>COUNTIF(Réponses!$B38:$U38,"="&amp;K$1)/$B$103</f>
        <v>0</v>
      </c>
      <c r="L39" s="5">
        <f>COUNTIF(Réponses!$B38:$U38,"="&amp;L$1)/$B$103</f>
        <v>0</v>
      </c>
      <c r="M39" s="5">
        <f>COUNTIF(Réponses!$B38:$U38,"="&amp;M$1)/$B$103</f>
        <v>0</v>
      </c>
      <c r="N39" s="5">
        <f>COUNTIF(Réponses!$B38:$U38,"="&amp;N$1)/$B$103</f>
        <v>0</v>
      </c>
      <c r="O39" s="5">
        <f>COUNTIF(Réponses!$B38:$U38,"="&amp;O$1)/$B$103</f>
        <v>0</v>
      </c>
      <c r="P39" s="5">
        <f>COUNTIF(Réponses!$B38:$U38,"="&amp;P$1)/$B$103</f>
        <v>0</v>
      </c>
      <c r="Q39" s="5">
        <f>COUNTIF(Réponses!$B38:$U38,"="&amp;Q$1)/$B$103</f>
        <v>0</v>
      </c>
      <c r="R39" s="5">
        <f>COUNTIF(Réponses!$B38:$U38,"="&amp;R$1)/$B$103</f>
        <v>0</v>
      </c>
      <c r="S39" s="5">
        <f>COUNTIF(Réponses!$B38:$U38,"="&amp;S$1)/$B$103</f>
        <v>0</v>
      </c>
      <c r="T39" s="5">
        <f>COUNTIF(Réponses!$B38:$U38,"="&amp;T$1)/$B$103</f>
        <v>0</v>
      </c>
      <c r="U39" s="5">
        <f>COUNTIF(Réponses!$B38:$U38,"="&amp;U$1)/$B$103</f>
        <v>0</v>
      </c>
      <c r="V39" s="5">
        <f>COUNTIF(Réponses!$B38:$U38,"="&amp;V$1)/$B$103</f>
        <v>0</v>
      </c>
    </row>
    <row r="40" spans="1:22" x14ac:dyDescent="0.25">
      <c r="A40" s="1">
        <v>38</v>
      </c>
      <c r="B40" s="1">
        <f>INDEX(Cartes!$C$2:$C$101,MATCH($A40,Cartes!$A$2:$A$101,0))</f>
        <v>14</v>
      </c>
      <c r="C40" s="5">
        <f>COUNTIF(Réponses!$B39:$U39,"="&amp;C$1)/$B$103</f>
        <v>0</v>
      </c>
      <c r="D40" s="5">
        <f>COUNTIF(Réponses!$B39:$U39,"="&amp;D$1)/$B$103</f>
        <v>0</v>
      </c>
      <c r="E40" s="5">
        <f>COUNTIF(Réponses!$B39:$U39,"="&amp;E$1)/$B$103</f>
        <v>0.25</v>
      </c>
      <c r="F40" s="5">
        <f>COUNTIF(Réponses!$B39:$U39,"="&amp;F$1)/$B$103</f>
        <v>0</v>
      </c>
      <c r="G40" s="5">
        <f>COUNTIF(Réponses!$B39:$U39,"="&amp;G$1)/$B$103</f>
        <v>0</v>
      </c>
      <c r="H40" s="5">
        <f>COUNTIF(Réponses!$B39:$U39,"="&amp;H$1)/$B$103</f>
        <v>0</v>
      </c>
      <c r="I40" s="5">
        <f>COUNTIF(Réponses!$B39:$U39,"="&amp;I$1)/$B$103</f>
        <v>0</v>
      </c>
      <c r="J40" s="5">
        <f>COUNTIF(Réponses!$B39:$U39,"="&amp;J$1)/$B$103</f>
        <v>0</v>
      </c>
      <c r="K40" s="5">
        <f>COUNTIF(Réponses!$B39:$U39,"="&amp;K$1)/$B$103</f>
        <v>0</v>
      </c>
      <c r="L40" s="5">
        <f>COUNTIF(Réponses!$B39:$U39,"="&amp;L$1)/$B$103</f>
        <v>0</v>
      </c>
      <c r="M40" s="5">
        <f>COUNTIF(Réponses!$B39:$U39,"="&amp;M$1)/$B$103</f>
        <v>0</v>
      </c>
      <c r="N40" s="5">
        <f>COUNTIF(Réponses!$B39:$U39,"="&amp;N$1)/$B$103</f>
        <v>0</v>
      </c>
      <c r="O40" s="5">
        <f>COUNTIF(Réponses!$B39:$U39,"="&amp;O$1)/$B$103</f>
        <v>0</v>
      </c>
      <c r="P40" s="5">
        <f>COUNTIF(Réponses!$B39:$U39,"="&amp;P$1)/$B$103</f>
        <v>0.75</v>
      </c>
      <c r="Q40" s="5">
        <f>COUNTIF(Réponses!$B39:$U39,"="&amp;Q$1)/$B$103</f>
        <v>0</v>
      </c>
      <c r="R40" s="5">
        <f>COUNTIF(Réponses!$B39:$U39,"="&amp;R$1)/$B$103</f>
        <v>0</v>
      </c>
      <c r="S40" s="5">
        <f>COUNTIF(Réponses!$B39:$U39,"="&amp;S$1)/$B$103</f>
        <v>0</v>
      </c>
      <c r="T40" s="5">
        <f>COUNTIF(Réponses!$B39:$U39,"="&amp;T$1)/$B$103</f>
        <v>0</v>
      </c>
      <c r="U40" s="5">
        <f>COUNTIF(Réponses!$B39:$U39,"="&amp;U$1)/$B$103</f>
        <v>0</v>
      </c>
      <c r="V40" s="5">
        <f>COUNTIF(Réponses!$B39:$U39,"="&amp;V$1)/$B$103</f>
        <v>0</v>
      </c>
    </row>
    <row r="41" spans="1:22" x14ac:dyDescent="0.25">
      <c r="A41" s="1">
        <v>39</v>
      </c>
      <c r="B41" s="1">
        <f>INDEX(Cartes!$C$2:$C$101,MATCH($A41,Cartes!$A$2:$A$101,0))</f>
        <v>4</v>
      </c>
      <c r="C41" s="5">
        <f>COUNTIF(Réponses!$B40:$U40,"="&amp;C$1)/$B$103</f>
        <v>0</v>
      </c>
      <c r="D41" s="5">
        <f>COUNTIF(Réponses!$B40:$U40,"="&amp;D$1)/$B$103</f>
        <v>0</v>
      </c>
      <c r="E41" s="5">
        <f>COUNTIF(Réponses!$B40:$U40,"="&amp;E$1)/$B$103</f>
        <v>0</v>
      </c>
      <c r="F41" s="5">
        <f>COUNTIF(Réponses!$B40:$U40,"="&amp;F$1)/$B$103</f>
        <v>0.95</v>
      </c>
      <c r="G41" s="5">
        <f>COUNTIF(Réponses!$B40:$U40,"="&amp;G$1)/$B$103</f>
        <v>0</v>
      </c>
      <c r="H41" s="5">
        <f>COUNTIF(Réponses!$B40:$U40,"="&amp;H$1)/$B$103</f>
        <v>0</v>
      </c>
      <c r="I41" s="5">
        <f>COUNTIF(Réponses!$B40:$U40,"="&amp;I$1)/$B$103</f>
        <v>0</v>
      </c>
      <c r="J41" s="5">
        <f>COUNTIF(Réponses!$B40:$U40,"="&amp;J$1)/$B$103</f>
        <v>0</v>
      </c>
      <c r="K41" s="5">
        <f>COUNTIF(Réponses!$B40:$U40,"="&amp;K$1)/$B$103</f>
        <v>0</v>
      </c>
      <c r="L41" s="5">
        <f>COUNTIF(Réponses!$B40:$U40,"="&amp;L$1)/$B$103</f>
        <v>0</v>
      </c>
      <c r="M41" s="5">
        <f>COUNTIF(Réponses!$B40:$U40,"="&amp;M$1)/$B$103</f>
        <v>0</v>
      </c>
      <c r="N41" s="5">
        <f>COUNTIF(Réponses!$B40:$U40,"="&amp;N$1)/$B$103</f>
        <v>0</v>
      </c>
      <c r="O41" s="5">
        <f>COUNTIF(Réponses!$B40:$U40,"="&amp;O$1)/$B$103</f>
        <v>0</v>
      </c>
      <c r="P41" s="5">
        <f>COUNTIF(Réponses!$B40:$U40,"="&amp;P$1)/$B$103</f>
        <v>0</v>
      </c>
      <c r="Q41" s="5">
        <f>COUNTIF(Réponses!$B40:$U40,"="&amp;Q$1)/$B$103</f>
        <v>0</v>
      </c>
      <c r="R41" s="5">
        <f>COUNTIF(Réponses!$B40:$U40,"="&amp;R$1)/$B$103</f>
        <v>0</v>
      </c>
      <c r="S41" s="5">
        <f>COUNTIF(Réponses!$B40:$U40,"="&amp;S$1)/$B$103</f>
        <v>0</v>
      </c>
      <c r="T41" s="5">
        <f>COUNTIF(Réponses!$B40:$U40,"="&amp;T$1)/$B$103</f>
        <v>0</v>
      </c>
      <c r="U41" s="5">
        <f>COUNTIF(Réponses!$B40:$U40,"="&amp;U$1)/$B$103</f>
        <v>0</v>
      </c>
      <c r="V41" s="5">
        <f>COUNTIF(Réponses!$B40:$U40,"="&amp;V$1)/$B$103</f>
        <v>0</v>
      </c>
    </row>
    <row r="42" spans="1:22" x14ac:dyDescent="0.25">
      <c r="A42" s="1">
        <v>40</v>
      </c>
      <c r="B42" s="1">
        <f>INDEX(Cartes!$C$2:$C$101,MATCH($A42,Cartes!$A$2:$A$101,0))</f>
        <v>3</v>
      </c>
      <c r="C42" s="5">
        <f>COUNTIF(Réponses!$B41:$U41,"="&amp;C$1)/$B$103</f>
        <v>0</v>
      </c>
      <c r="D42" s="5">
        <f>COUNTIF(Réponses!$B41:$U41,"="&amp;D$1)/$B$103</f>
        <v>0</v>
      </c>
      <c r="E42" s="5">
        <f>COUNTIF(Réponses!$B41:$U41,"="&amp;E$1)/$B$103</f>
        <v>1</v>
      </c>
      <c r="F42" s="5">
        <f>COUNTIF(Réponses!$B41:$U41,"="&amp;F$1)/$B$103</f>
        <v>0</v>
      </c>
      <c r="G42" s="5">
        <f>COUNTIF(Réponses!$B41:$U41,"="&amp;G$1)/$B$103</f>
        <v>0</v>
      </c>
      <c r="H42" s="5">
        <f>COUNTIF(Réponses!$B41:$U41,"="&amp;H$1)/$B$103</f>
        <v>0</v>
      </c>
      <c r="I42" s="5">
        <f>COUNTIF(Réponses!$B41:$U41,"="&amp;I$1)/$B$103</f>
        <v>0</v>
      </c>
      <c r="J42" s="5">
        <f>COUNTIF(Réponses!$B41:$U41,"="&amp;J$1)/$B$103</f>
        <v>0</v>
      </c>
      <c r="K42" s="5">
        <f>COUNTIF(Réponses!$B41:$U41,"="&amp;K$1)/$B$103</f>
        <v>0</v>
      </c>
      <c r="L42" s="5">
        <f>COUNTIF(Réponses!$B41:$U41,"="&amp;L$1)/$B$103</f>
        <v>0</v>
      </c>
      <c r="M42" s="5">
        <f>COUNTIF(Réponses!$B41:$U41,"="&amp;M$1)/$B$103</f>
        <v>0</v>
      </c>
      <c r="N42" s="5">
        <f>COUNTIF(Réponses!$B41:$U41,"="&amp;N$1)/$B$103</f>
        <v>0</v>
      </c>
      <c r="O42" s="5">
        <f>COUNTIF(Réponses!$B41:$U41,"="&amp;O$1)/$B$103</f>
        <v>0</v>
      </c>
      <c r="P42" s="5">
        <f>COUNTIF(Réponses!$B41:$U41,"="&amp;P$1)/$B$103</f>
        <v>0</v>
      </c>
      <c r="Q42" s="5">
        <f>COUNTIF(Réponses!$B41:$U41,"="&amp;Q$1)/$B$103</f>
        <v>0</v>
      </c>
      <c r="R42" s="5">
        <f>COUNTIF(Réponses!$B41:$U41,"="&amp;R$1)/$B$103</f>
        <v>0</v>
      </c>
      <c r="S42" s="5">
        <f>COUNTIF(Réponses!$B41:$U41,"="&amp;S$1)/$B$103</f>
        <v>0</v>
      </c>
      <c r="T42" s="5">
        <f>COUNTIF(Réponses!$B41:$U41,"="&amp;T$1)/$B$103</f>
        <v>0</v>
      </c>
      <c r="U42" s="5">
        <f>COUNTIF(Réponses!$B41:$U41,"="&amp;U$1)/$B$103</f>
        <v>0</v>
      </c>
      <c r="V42" s="5">
        <f>COUNTIF(Réponses!$B41:$U41,"="&amp;V$1)/$B$103</f>
        <v>0</v>
      </c>
    </row>
    <row r="43" spans="1:22" x14ac:dyDescent="0.25">
      <c r="A43" s="1">
        <v>41</v>
      </c>
      <c r="B43" s="1">
        <f>INDEX(Cartes!$C$2:$C$101,MATCH($A43,Cartes!$A$2:$A$101,0))</f>
        <v>10</v>
      </c>
      <c r="C43" s="5">
        <f>COUNTIF(Réponses!$B42:$U42,"="&amp;C$1)/$B$103</f>
        <v>0</v>
      </c>
      <c r="D43" s="5">
        <f>COUNTIF(Réponses!$B42:$U42,"="&amp;D$1)/$B$103</f>
        <v>0</v>
      </c>
      <c r="E43" s="5">
        <f>COUNTIF(Réponses!$B42:$U42,"="&amp;E$1)/$B$103</f>
        <v>0</v>
      </c>
      <c r="F43" s="5">
        <f>COUNTIF(Réponses!$B42:$U42,"="&amp;F$1)/$B$103</f>
        <v>0</v>
      </c>
      <c r="G43" s="5">
        <f>COUNTIF(Réponses!$B42:$U42,"="&amp;G$1)/$B$103</f>
        <v>0</v>
      </c>
      <c r="H43" s="5">
        <f>COUNTIF(Réponses!$B42:$U42,"="&amp;H$1)/$B$103</f>
        <v>0</v>
      </c>
      <c r="I43" s="5">
        <f>COUNTIF(Réponses!$B42:$U42,"="&amp;I$1)/$B$103</f>
        <v>0</v>
      </c>
      <c r="J43" s="5">
        <f>COUNTIF(Réponses!$B42:$U42,"="&amp;J$1)/$B$103</f>
        <v>0</v>
      </c>
      <c r="K43" s="5">
        <f>COUNTIF(Réponses!$B42:$U42,"="&amp;K$1)/$B$103</f>
        <v>0</v>
      </c>
      <c r="L43" s="5">
        <f>COUNTIF(Réponses!$B42:$U42,"="&amp;L$1)/$B$103</f>
        <v>1</v>
      </c>
      <c r="M43" s="5">
        <f>COUNTIF(Réponses!$B42:$U42,"="&amp;M$1)/$B$103</f>
        <v>0</v>
      </c>
      <c r="N43" s="5">
        <f>COUNTIF(Réponses!$B42:$U42,"="&amp;N$1)/$B$103</f>
        <v>0</v>
      </c>
      <c r="O43" s="5">
        <f>COUNTIF(Réponses!$B42:$U42,"="&amp;O$1)/$B$103</f>
        <v>0</v>
      </c>
      <c r="P43" s="5">
        <f>COUNTIF(Réponses!$B42:$U42,"="&amp;P$1)/$B$103</f>
        <v>0</v>
      </c>
      <c r="Q43" s="5">
        <f>COUNTIF(Réponses!$B42:$U42,"="&amp;Q$1)/$B$103</f>
        <v>0</v>
      </c>
      <c r="R43" s="5">
        <f>COUNTIF(Réponses!$B42:$U42,"="&amp;R$1)/$B$103</f>
        <v>0</v>
      </c>
      <c r="S43" s="5">
        <f>COUNTIF(Réponses!$B42:$U42,"="&amp;S$1)/$B$103</f>
        <v>0</v>
      </c>
      <c r="T43" s="5">
        <f>COUNTIF(Réponses!$B42:$U42,"="&amp;T$1)/$B$103</f>
        <v>0</v>
      </c>
      <c r="U43" s="5">
        <f>COUNTIF(Réponses!$B42:$U42,"="&amp;U$1)/$B$103</f>
        <v>0</v>
      </c>
      <c r="V43" s="5">
        <f>COUNTIF(Réponses!$B42:$U42,"="&amp;V$1)/$B$103</f>
        <v>0</v>
      </c>
    </row>
    <row r="44" spans="1:22" x14ac:dyDescent="0.25">
      <c r="A44" s="1">
        <v>42</v>
      </c>
      <c r="B44" s="1">
        <f>INDEX(Cartes!$C$2:$C$101,MATCH($A44,Cartes!$A$2:$A$101,0))</f>
        <v>9</v>
      </c>
      <c r="C44" s="5">
        <f>COUNTIF(Réponses!$B43:$U43,"="&amp;C$1)/$B$103</f>
        <v>0</v>
      </c>
      <c r="D44" s="5">
        <f>COUNTIF(Réponses!$B43:$U43,"="&amp;D$1)/$B$103</f>
        <v>0</v>
      </c>
      <c r="E44" s="5">
        <f>COUNTIF(Réponses!$B43:$U43,"="&amp;E$1)/$B$103</f>
        <v>0</v>
      </c>
      <c r="F44" s="5">
        <f>COUNTIF(Réponses!$B43:$U43,"="&amp;F$1)/$B$103</f>
        <v>0</v>
      </c>
      <c r="G44" s="5">
        <f>COUNTIF(Réponses!$B43:$U43,"="&amp;G$1)/$B$103</f>
        <v>0</v>
      </c>
      <c r="H44" s="5">
        <f>COUNTIF(Réponses!$B43:$U43,"="&amp;H$1)/$B$103</f>
        <v>0</v>
      </c>
      <c r="I44" s="5">
        <f>COUNTIF(Réponses!$B43:$U43,"="&amp;I$1)/$B$103</f>
        <v>0</v>
      </c>
      <c r="J44" s="5">
        <f>COUNTIF(Réponses!$B43:$U43,"="&amp;J$1)/$B$103</f>
        <v>0</v>
      </c>
      <c r="K44" s="5">
        <f>COUNTIF(Réponses!$B43:$U43,"="&amp;K$1)/$B$103</f>
        <v>1</v>
      </c>
      <c r="L44" s="5">
        <f>COUNTIF(Réponses!$B43:$U43,"="&amp;L$1)/$B$103</f>
        <v>0</v>
      </c>
      <c r="M44" s="5">
        <f>COUNTIF(Réponses!$B43:$U43,"="&amp;M$1)/$B$103</f>
        <v>0</v>
      </c>
      <c r="N44" s="5">
        <f>COUNTIF(Réponses!$B43:$U43,"="&amp;N$1)/$B$103</f>
        <v>0</v>
      </c>
      <c r="O44" s="5">
        <f>COUNTIF(Réponses!$B43:$U43,"="&amp;O$1)/$B$103</f>
        <v>0</v>
      </c>
      <c r="P44" s="5">
        <f>COUNTIF(Réponses!$B43:$U43,"="&amp;P$1)/$B$103</f>
        <v>0</v>
      </c>
      <c r="Q44" s="5">
        <f>COUNTIF(Réponses!$B43:$U43,"="&amp;Q$1)/$B$103</f>
        <v>0</v>
      </c>
      <c r="R44" s="5">
        <f>COUNTIF(Réponses!$B43:$U43,"="&amp;R$1)/$B$103</f>
        <v>0</v>
      </c>
      <c r="S44" s="5">
        <f>COUNTIF(Réponses!$B43:$U43,"="&amp;S$1)/$B$103</f>
        <v>0</v>
      </c>
      <c r="T44" s="5">
        <f>COUNTIF(Réponses!$B43:$U43,"="&amp;T$1)/$B$103</f>
        <v>0</v>
      </c>
      <c r="U44" s="5">
        <f>COUNTIF(Réponses!$B43:$U43,"="&amp;U$1)/$B$103</f>
        <v>0</v>
      </c>
      <c r="V44" s="5">
        <f>COUNTIF(Réponses!$B43:$U43,"="&amp;V$1)/$B$103</f>
        <v>0</v>
      </c>
    </row>
    <row r="45" spans="1:22" x14ac:dyDescent="0.25">
      <c r="A45" s="1">
        <v>43</v>
      </c>
      <c r="B45" s="1">
        <f>INDEX(Cartes!$C$2:$C$101,MATCH($A45,Cartes!$A$2:$A$101,0))</f>
        <v>10</v>
      </c>
      <c r="C45" s="5">
        <f>COUNTIF(Réponses!$B44:$U44,"="&amp;C$1)/$B$103</f>
        <v>0</v>
      </c>
      <c r="D45" s="5">
        <f>COUNTIF(Réponses!$B44:$U44,"="&amp;D$1)/$B$103</f>
        <v>0</v>
      </c>
      <c r="E45" s="5">
        <f>COUNTIF(Réponses!$B44:$U44,"="&amp;E$1)/$B$103</f>
        <v>0</v>
      </c>
      <c r="F45" s="5">
        <f>COUNTIF(Réponses!$B44:$U44,"="&amp;F$1)/$B$103</f>
        <v>0</v>
      </c>
      <c r="G45" s="5">
        <f>COUNTIF(Réponses!$B44:$U44,"="&amp;G$1)/$B$103</f>
        <v>0</v>
      </c>
      <c r="H45" s="5">
        <f>COUNTIF(Réponses!$B44:$U44,"="&amp;H$1)/$B$103</f>
        <v>0</v>
      </c>
      <c r="I45" s="5">
        <f>COUNTIF(Réponses!$B44:$U44,"="&amp;I$1)/$B$103</f>
        <v>0</v>
      </c>
      <c r="J45" s="5">
        <f>COUNTIF(Réponses!$B44:$U44,"="&amp;J$1)/$B$103</f>
        <v>0</v>
      </c>
      <c r="K45" s="5">
        <f>COUNTIF(Réponses!$B44:$U44,"="&amp;K$1)/$B$103</f>
        <v>0</v>
      </c>
      <c r="L45" s="5">
        <f>COUNTIF(Réponses!$B44:$U44,"="&amp;L$1)/$B$103</f>
        <v>1</v>
      </c>
      <c r="M45" s="5">
        <f>COUNTIF(Réponses!$B44:$U44,"="&amp;M$1)/$B$103</f>
        <v>0</v>
      </c>
      <c r="N45" s="5">
        <f>COUNTIF(Réponses!$B44:$U44,"="&amp;N$1)/$B$103</f>
        <v>0</v>
      </c>
      <c r="O45" s="5">
        <f>COUNTIF(Réponses!$B44:$U44,"="&amp;O$1)/$B$103</f>
        <v>0</v>
      </c>
      <c r="P45" s="5">
        <f>COUNTIF(Réponses!$B44:$U44,"="&amp;P$1)/$B$103</f>
        <v>0</v>
      </c>
      <c r="Q45" s="5">
        <f>COUNTIF(Réponses!$B44:$U44,"="&amp;Q$1)/$B$103</f>
        <v>0</v>
      </c>
      <c r="R45" s="5">
        <f>COUNTIF(Réponses!$B44:$U44,"="&amp;R$1)/$B$103</f>
        <v>0</v>
      </c>
      <c r="S45" s="5">
        <f>COUNTIF(Réponses!$B44:$U44,"="&amp;S$1)/$B$103</f>
        <v>0</v>
      </c>
      <c r="T45" s="5">
        <f>COUNTIF(Réponses!$B44:$U44,"="&amp;T$1)/$B$103</f>
        <v>0</v>
      </c>
      <c r="U45" s="5">
        <f>COUNTIF(Réponses!$B44:$U44,"="&amp;U$1)/$B$103</f>
        <v>0</v>
      </c>
      <c r="V45" s="5">
        <f>COUNTIF(Réponses!$B44:$U44,"="&amp;V$1)/$B$103</f>
        <v>0</v>
      </c>
    </row>
    <row r="46" spans="1:22" x14ac:dyDescent="0.25">
      <c r="A46" s="1">
        <v>44</v>
      </c>
      <c r="B46" s="1">
        <f>INDEX(Cartes!$C$2:$C$101,MATCH($A46,Cartes!$A$2:$A$101,0))</f>
        <v>2</v>
      </c>
      <c r="C46" s="5">
        <f>COUNTIF(Réponses!$B45:$U45,"="&amp;C$1)/$B$103</f>
        <v>0</v>
      </c>
      <c r="D46" s="5">
        <f>COUNTIF(Réponses!$B45:$U45,"="&amp;D$1)/$B$103</f>
        <v>1</v>
      </c>
      <c r="E46" s="5">
        <f>COUNTIF(Réponses!$B45:$U45,"="&amp;E$1)/$B$103</f>
        <v>0</v>
      </c>
      <c r="F46" s="5">
        <f>COUNTIF(Réponses!$B45:$U45,"="&amp;F$1)/$B$103</f>
        <v>0</v>
      </c>
      <c r="G46" s="5">
        <f>COUNTIF(Réponses!$B45:$U45,"="&amp;G$1)/$B$103</f>
        <v>0</v>
      </c>
      <c r="H46" s="5">
        <f>COUNTIF(Réponses!$B45:$U45,"="&amp;H$1)/$B$103</f>
        <v>0</v>
      </c>
      <c r="I46" s="5">
        <f>COUNTIF(Réponses!$B45:$U45,"="&amp;I$1)/$B$103</f>
        <v>0</v>
      </c>
      <c r="J46" s="5">
        <f>COUNTIF(Réponses!$B45:$U45,"="&amp;J$1)/$B$103</f>
        <v>0</v>
      </c>
      <c r="K46" s="5">
        <f>COUNTIF(Réponses!$B45:$U45,"="&amp;K$1)/$B$103</f>
        <v>0</v>
      </c>
      <c r="L46" s="5">
        <f>COUNTIF(Réponses!$B45:$U45,"="&amp;L$1)/$B$103</f>
        <v>0</v>
      </c>
      <c r="M46" s="5">
        <f>COUNTIF(Réponses!$B45:$U45,"="&amp;M$1)/$B$103</f>
        <v>0</v>
      </c>
      <c r="N46" s="5">
        <f>COUNTIF(Réponses!$B45:$U45,"="&amp;N$1)/$B$103</f>
        <v>0</v>
      </c>
      <c r="O46" s="5">
        <f>COUNTIF(Réponses!$B45:$U45,"="&amp;O$1)/$B$103</f>
        <v>0</v>
      </c>
      <c r="P46" s="5">
        <f>COUNTIF(Réponses!$B45:$U45,"="&amp;P$1)/$B$103</f>
        <v>0</v>
      </c>
      <c r="Q46" s="5">
        <f>COUNTIF(Réponses!$B45:$U45,"="&amp;Q$1)/$B$103</f>
        <v>0</v>
      </c>
      <c r="R46" s="5">
        <f>COUNTIF(Réponses!$B45:$U45,"="&amp;R$1)/$B$103</f>
        <v>0</v>
      </c>
      <c r="S46" s="5">
        <f>COUNTIF(Réponses!$B45:$U45,"="&amp;S$1)/$B$103</f>
        <v>0</v>
      </c>
      <c r="T46" s="5">
        <f>COUNTIF(Réponses!$B45:$U45,"="&amp;T$1)/$B$103</f>
        <v>0</v>
      </c>
      <c r="U46" s="5">
        <f>COUNTIF(Réponses!$B45:$U45,"="&amp;U$1)/$B$103</f>
        <v>0</v>
      </c>
      <c r="V46" s="5">
        <f>COUNTIF(Réponses!$B45:$U45,"="&amp;V$1)/$B$103</f>
        <v>0</v>
      </c>
    </row>
    <row r="47" spans="1:22" x14ac:dyDescent="0.25">
      <c r="A47" s="1">
        <v>45</v>
      </c>
      <c r="B47" s="1">
        <f>INDEX(Cartes!$C$2:$C$101,MATCH($A47,Cartes!$A$2:$A$101,0))</f>
        <v>8</v>
      </c>
      <c r="C47" s="5">
        <f>COUNTIF(Réponses!$B46:$U46,"="&amp;C$1)/$B$103</f>
        <v>0</v>
      </c>
      <c r="D47" s="5">
        <f>COUNTIF(Réponses!$B46:$U46,"="&amp;D$1)/$B$103</f>
        <v>0</v>
      </c>
      <c r="E47" s="5">
        <f>COUNTIF(Réponses!$B46:$U46,"="&amp;E$1)/$B$103</f>
        <v>0</v>
      </c>
      <c r="F47" s="5">
        <f>COUNTIF(Réponses!$B46:$U46,"="&amp;F$1)/$B$103</f>
        <v>0</v>
      </c>
      <c r="G47" s="5">
        <f>COUNTIF(Réponses!$B46:$U46,"="&amp;G$1)/$B$103</f>
        <v>0</v>
      </c>
      <c r="H47" s="5">
        <f>COUNTIF(Réponses!$B46:$U46,"="&amp;H$1)/$B$103</f>
        <v>0</v>
      </c>
      <c r="I47" s="5">
        <f>COUNTIF(Réponses!$B46:$U46,"="&amp;I$1)/$B$103</f>
        <v>0</v>
      </c>
      <c r="J47" s="5">
        <f>COUNTIF(Réponses!$B46:$U46,"="&amp;J$1)/$B$103</f>
        <v>1</v>
      </c>
      <c r="K47" s="5">
        <f>COUNTIF(Réponses!$B46:$U46,"="&amp;K$1)/$B$103</f>
        <v>0</v>
      </c>
      <c r="L47" s="5">
        <f>COUNTIF(Réponses!$B46:$U46,"="&amp;L$1)/$B$103</f>
        <v>0</v>
      </c>
      <c r="M47" s="5">
        <f>COUNTIF(Réponses!$B46:$U46,"="&amp;M$1)/$B$103</f>
        <v>0</v>
      </c>
      <c r="N47" s="5">
        <f>COUNTIF(Réponses!$B46:$U46,"="&amp;N$1)/$B$103</f>
        <v>0</v>
      </c>
      <c r="O47" s="5">
        <f>COUNTIF(Réponses!$B46:$U46,"="&amp;O$1)/$B$103</f>
        <v>0</v>
      </c>
      <c r="P47" s="5">
        <f>COUNTIF(Réponses!$B46:$U46,"="&amp;P$1)/$B$103</f>
        <v>0</v>
      </c>
      <c r="Q47" s="5">
        <f>COUNTIF(Réponses!$B46:$U46,"="&amp;Q$1)/$B$103</f>
        <v>0</v>
      </c>
      <c r="R47" s="5">
        <f>COUNTIF(Réponses!$B46:$U46,"="&amp;R$1)/$B$103</f>
        <v>0</v>
      </c>
      <c r="S47" s="5">
        <f>COUNTIF(Réponses!$B46:$U46,"="&amp;S$1)/$B$103</f>
        <v>0</v>
      </c>
      <c r="T47" s="5">
        <f>COUNTIF(Réponses!$B46:$U46,"="&amp;T$1)/$B$103</f>
        <v>0</v>
      </c>
      <c r="U47" s="5">
        <f>COUNTIF(Réponses!$B46:$U46,"="&amp;U$1)/$B$103</f>
        <v>0</v>
      </c>
      <c r="V47" s="5">
        <f>COUNTIF(Réponses!$B46:$U46,"="&amp;V$1)/$B$103</f>
        <v>0</v>
      </c>
    </row>
    <row r="48" spans="1:22" x14ac:dyDescent="0.25">
      <c r="A48" s="1">
        <v>46</v>
      </c>
      <c r="B48" s="1">
        <f>INDEX(Cartes!$C$2:$C$101,MATCH($A48,Cartes!$A$2:$A$101,0))</f>
        <v>4</v>
      </c>
      <c r="C48" s="5">
        <f>COUNTIF(Réponses!$B47:$U47,"="&amp;C$1)/$B$103</f>
        <v>0</v>
      </c>
      <c r="D48" s="5">
        <f>COUNTIF(Réponses!$B47:$U47,"="&amp;D$1)/$B$103</f>
        <v>0</v>
      </c>
      <c r="E48" s="5">
        <f>COUNTIF(Réponses!$B47:$U47,"="&amp;E$1)/$B$103</f>
        <v>0</v>
      </c>
      <c r="F48" s="5">
        <f>COUNTIF(Réponses!$B47:$U47,"="&amp;F$1)/$B$103</f>
        <v>1</v>
      </c>
      <c r="G48" s="5">
        <f>COUNTIF(Réponses!$B47:$U47,"="&amp;G$1)/$B$103</f>
        <v>0</v>
      </c>
      <c r="H48" s="5">
        <f>COUNTIF(Réponses!$B47:$U47,"="&amp;H$1)/$B$103</f>
        <v>0</v>
      </c>
      <c r="I48" s="5">
        <f>COUNTIF(Réponses!$B47:$U47,"="&amp;I$1)/$B$103</f>
        <v>0</v>
      </c>
      <c r="J48" s="5">
        <f>COUNTIF(Réponses!$B47:$U47,"="&amp;J$1)/$B$103</f>
        <v>0</v>
      </c>
      <c r="K48" s="5">
        <f>COUNTIF(Réponses!$B47:$U47,"="&amp;K$1)/$B$103</f>
        <v>0</v>
      </c>
      <c r="L48" s="5">
        <f>COUNTIF(Réponses!$B47:$U47,"="&amp;L$1)/$B$103</f>
        <v>0</v>
      </c>
      <c r="M48" s="5">
        <f>COUNTIF(Réponses!$B47:$U47,"="&amp;M$1)/$B$103</f>
        <v>0</v>
      </c>
      <c r="N48" s="5">
        <f>COUNTIF(Réponses!$B47:$U47,"="&amp;N$1)/$B$103</f>
        <v>0</v>
      </c>
      <c r="O48" s="5">
        <f>COUNTIF(Réponses!$B47:$U47,"="&amp;O$1)/$B$103</f>
        <v>0</v>
      </c>
      <c r="P48" s="5">
        <f>COUNTIF(Réponses!$B47:$U47,"="&amp;P$1)/$B$103</f>
        <v>0</v>
      </c>
      <c r="Q48" s="5">
        <f>COUNTIF(Réponses!$B47:$U47,"="&amp;Q$1)/$B$103</f>
        <v>0</v>
      </c>
      <c r="R48" s="5">
        <f>COUNTIF(Réponses!$B47:$U47,"="&amp;R$1)/$B$103</f>
        <v>0</v>
      </c>
      <c r="S48" s="5">
        <f>COUNTIF(Réponses!$B47:$U47,"="&amp;S$1)/$B$103</f>
        <v>0</v>
      </c>
      <c r="T48" s="5">
        <f>COUNTIF(Réponses!$B47:$U47,"="&amp;T$1)/$B$103</f>
        <v>0</v>
      </c>
      <c r="U48" s="5">
        <f>COUNTIF(Réponses!$B47:$U47,"="&amp;U$1)/$B$103</f>
        <v>0</v>
      </c>
      <c r="V48" s="5">
        <f>COUNTIF(Réponses!$B47:$U47,"="&amp;V$1)/$B$103</f>
        <v>0</v>
      </c>
    </row>
    <row r="49" spans="1:22" x14ac:dyDescent="0.25">
      <c r="A49" s="1">
        <v>47</v>
      </c>
      <c r="B49" s="1">
        <f>INDEX(Cartes!$C$2:$C$101,MATCH($A49,Cartes!$A$2:$A$101,0))</f>
        <v>17</v>
      </c>
      <c r="C49" s="5">
        <f>COUNTIF(Réponses!$B48:$U48,"="&amp;C$1)/$B$103</f>
        <v>0</v>
      </c>
      <c r="D49" s="5">
        <f>COUNTIF(Réponses!$B48:$U48,"="&amp;D$1)/$B$103</f>
        <v>0</v>
      </c>
      <c r="E49" s="5">
        <f>COUNTIF(Réponses!$B48:$U48,"="&amp;E$1)/$B$103</f>
        <v>0</v>
      </c>
      <c r="F49" s="5">
        <f>COUNTIF(Réponses!$B48:$U48,"="&amp;F$1)/$B$103</f>
        <v>0</v>
      </c>
      <c r="G49" s="5">
        <f>COUNTIF(Réponses!$B48:$U48,"="&amp;G$1)/$B$103</f>
        <v>0</v>
      </c>
      <c r="H49" s="5">
        <f>COUNTIF(Réponses!$B48:$U48,"="&amp;H$1)/$B$103</f>
        <v>0</v>
      </c>
      <c r="I49" s="5">
        <f>COUNTIF(Réponses!$B48:$U48,"="&amp;I$1)/$B$103</f>
        <v>0</v>
      </c>
      <c r="J49" s="5">
        <f>COUNTIF(Réponses!$B48:$U48,"="&amp;J$1)/$B$103</f>
        <v>0</v>
      </c>
      <c r="K49" s="5">
        <f>COUNTIF(Réponses!$B48:$U48,"="&amp;K$1)/$B$103</f>
        <v>0</v>
      </c>
      <c r="L49" s="5">
        <f>COUNTIF(Réponses!$B48:$U48,"="&amp;L$1)/$B$103</f>
        <v>0</v>
      </c>
      <c r="M49" s="5">
        <f>COUNTIF(Réponses!$B48:$U48,"="&amp;M$1)/$B$103</f>
        <v>0</v>
      </c>
      <c r="N49" s="5">
        <f>COUNTIF(Réponses!$B48:$U48,"="&amp;N$1)/$B$103</f>
        <v>0</v>
      </c>
      <c r="O49" s="5">
        <f>COUNTIF(Réponses!$B48:$U48,"="&amp;O$1)/$B$103</f>
        <v>0</v>
      </c>
      <c r="P49" s="5">
        <f>COUNTIF(Réponses!$B48:$U48,"="&amp;P$1)/$B$103</f>
        <v>0</v>
      </c>
      <c r="Q49" s="5">
        <f>COUNTIF(Réponses!$B48:$U48,"="&amp;Q$1)/$B$103</f>
        <v>0</v>
      </c>
      <c r="R49" s="5">
        <f>COUNTIF(Réponses!$B48:$U48,"="&amp;R$1)/$B$103</f>
        <v>0</v>
      </c>
      <c r="S49" s="5">
        <f>COUNTIF(Réponses!$B48:$U48,"="&amp;S$1)/$B$103</f>
        <v>1</v>
      </c>
      <c r="T49" s="5">
        <f>COUNTIF(Réponses!$B48:$U48,"="&amp;T$1)/$B$103</f>
        <v>0</v>
      </c>
      <c r="U49" s="5">
        <f>COUNTIF(Réponses!$B48:$U48,"="&amp;U$1)/$B$103</f>
        <v>0</v>
      </c>
      <c r="V49" s="5">
        <f>COUNTIF(Réponses!$B48:$U48,"="&amp;V$1)/$B$103</f>
        <v>0</v>
      </c>
    </row>
    <row r="50" spans="1:22" x14ac:dyDescent="0.25">
      <c r="A50" s="1">
        <v>48</v>
      </c>
      <c r="B50" s="1">
        <f>INDEX(Cartes!$C$2:$C$101,MATCH($A50,Cartes!$A$2:$A$101,0))</f>
        <v>11</v>
      </c>
      <c r="C50" s="5">
        <f>COUNTIF(Réponses!$B49:$U49,"="&amp;C$1)/$B$103</f>
        <v>0</v>
      </c>
      <c r="D50" s="5">
        <f>COUNTIF(Réponses!$B49:$U49,"="&amp;D$1)/$B$103</f>
        <v>0</v>
      </c>
      <c r="E50" s="5">
        <f>COUNTIF(Réponses!$B49:$U49,"="&amp;E$1)/$B$103</f>
        <v>0</v>
      </c>
      <c r="F50" s="5">
        <f>COUNTIF(Réponses!$B49:$U49,"="&amp;F$1)/$B$103</f>
        <v>0</v>
      </c>
      <c r="G50" s="5">
        <f>COUNTIF(Réponses!$B49:$U49,"="&amp;G$1)/$B$103</f>
        <v>0</v>
      </c>
      <c r="H50" s="5">
        <f>COUNTIF(Réponses!$B49:$U49,"="&amp;H$1)/$B$103</f>
        <v>0</v>
      </c>
      <c r="I50" s="5">
        <f>COUNTIF(Réponses!$B49:$U49,"="&amp;I$1)/$B$103</f>
        <v>0</v>
      </c>
      <c r="J50" s="5">
        <f>COUNTIF(Réponses!$B49:$U49,"="&amp;J$1)/$B$103</f>
        <v>0</v>
      </c>
      <c r="K50" s="5">
        <f>COUNTIF(Réponses!$B49:$U49,"="&amp;K$1)/$B$103</f>
        <v>0</v>
      </c>
      <c r="L50" s="5">
        <f>COUNTIF(Réponses!$B49:$U49,"="&amp;L$1)/$B$103</f>
        <v>0</v>
      </c>
      <c r="M50" s="5">
        <f>COUNTIF(Réponses!$B49:$U49,"="&amp;M$1)/$B$103</f>
        <v>1</v>
      </c>
      <c r="N50" s="5">
        <f>COUNTIF(Réponses!$B49:$U49,"="&amp;N$1)/$B$103</f>
        <v>0</v>
      </c>
      <c r="O50" s="5">
        <f>COUNTIF(Réponses!$B49:$U49,"="&amp;O$1)/$B$103</f>
        <v>0</v>
      </c>
      <c r="P50" s="5">
        <f>COUNTIF(Réponses!$B49:$U49,"="&amp;P$1)/$B$103</f>
        <v>0</v>
      </c>
      <c r="Q50" s="5">
        <f>COUNTIF(Réponses!$B49:$U49,"="&amp;Q$1)/$B$103</f>
        <v>0</v>
      </c>
      <c r="R50" s="5">
        <f>COUNTIF(Réponses!$B49:$U49,"="&amp;R$1)/$B$103</f>
        <v>0</v>
      </c>
      <c r="S50" s="5">
        <f>COUNTIF(Réponses!$B49:$U49,"="&amp;S$1)/$B$103</f>
        <v>0</v>
      </c>
      <c r="T50" s="5">
        <f>COUNTIF(Réponses!$B49:$U49,"="&amp;T$1)/$B$103</f>
        <v>0</v>
      </c>
      <c r="U50" s="5">
        <f>COUNTIF(Réponses!$B49:$U49,"="&amp;U$1)/$B$103</f>
        <v>0</v>
      </c>
      <c r="V50" s="5">
        <f>COUNTIF(Réponses!$B49:$U49,"="&amp;V$1)/$B$103</f>
        <v>0</v>
      </c>
    </row>
    <row r="51" spans="1:22" x14ac:dyDescent="0.25">
      <c r="A51" s="1">
        <v>49</v>
      </c>
      <c r="B51" s="1">
        <f>INDEX(Cartes!$C$2:$C$101,MATCH($A51,Cartes!$A$2:$A$101,0))</f>
        <v>5</v>
      </c>
      <c r="C51" s="5">
        <f>COUNTIF(Réponses!$B50:$U50,"="&amp;C$1)/$B$103</f>
        <v>0</v>
      </c>
      <c r="D51" s="5">
        <f>COUNTIF(Réponses!$B50:$U50,"="&amp;D$1)/$B$103</f>
        <v>0</v>
      </c>
      <c r="E51" s="5">
        <f>COUNTIF(Réponses!$B50:$U50,"="&amp;E$1)/$B$103</f>
        <v>0</v>
      </c>
      <c r="F51" s="5">
        <f>COUNTIF(Réponses!$B50:$U50,"="&amp;F$1)/$B$103</f>
        <v>0</v>
      </c>
      <c r="G51" s="5">
        <f>COUNTIF(Réponses!$B50:$U50,"="&amp;G$1)/$B$103</f>
        <v>1</v>
      </c>
      <c r="H51" s="5">
        <f>COUNTIF(Réponses!$B50:$U50,"="&amp;H$1)/$B$103</f>
        <v>0</v>
      </c>
      <c r="I51" s="5">
        <f>COUNTIF(Réponses!$B50:$U50,"="&amp;I$1)/$B$103</f>
        <v>0</v>
      </c>
      <c r="J51" s="5">
        <f>COUNTIF(Réponses!$B50:$U50,"="&amp;J$1)/$B$103</f>
        <v>0</v>
      </c>
      <c r="K51" s="5">
        <f>COUNTIF(Réponses!$B50:$U50,"="&amp;K$1)/$B$103</f>
        <v>0</v>
      </c>
      <c r="L51" s="5">
        <f>COUNTIF(Réponses!$B50:$U50,"="&amp;L$1)/$B$103</f>
        <v>0</v>
      </c>
      <c r="M51" s="5">
        <f>COUNTIF(Réponses!$B50:$U50,"="&amp;M$1)/$B$103</f>
        <v>0</v>
      </c>
      <c r="N51" s="5">
        <f>COUNTIF(Réponses!$B50:$U50,"="&amp;N$1)/$B$103</f>
        <v>0</v>
      </c>
      <c r="O51" s="5">
        <f>COUNTIF(Réponses!$B50:$U50,"="&amp;O$1)/$B$103</f>
        <v>0</v>
      </c>
      <c r="P51" s="5">
        <f>COUNTIF(Réponses!$B50:$U50,"="&amp;P$1)/$B$103</f>
        <v>0</v>
      </c>
      <c r="Q51" s="5">
        <f>COUNTIF(Réponses!$B50:$U50,"="&amp;Q$1)/$B$103</f>
        <v>0</v>
      </c>
      <c r="R51" s="5">
        <f>COUNTIF(Réponses!$B50:$U50,"="&amp;R$1)/$B$103</f>
        <v>0</v>
      </c>
      <c r="S51" s="5">
        <f>COUNTIF(Réponses!$B50:$U50,"="&amp;S$1)/$B$103</f>
        <v>0</v>
      </c>
      <c r="T51" s="5">
        <f>COUNTIF(Réponses!$B50:$U50,"="&amp;T$1)/$B$103</f>
        <v>0</v>
      </c>
      <c r="U51" s="5">
        <f>COUNTIF(Réponses!$B50:$U50,"="&amp;U$1)/$B$103</f>
        <v>0</v>
      </c>
      <c r="V51" s="5">
        <f>COUNTIF(Réponses!$B50:$U50,"="&amp;V$1)/$B$103</f>
        <v>0</v>
      </c>
    </row>
    <row r="52" spans="1:22" x14ac:dyDescent="0.25">
      <c r="A52" s="1">
        <v>50</v>
      </c>
      <c r="B52" s="1">
        <f>INDEX(Cartes!$C$2:$C$101,MATCH($A52,Cartes!$A$2:$A$101,0))</f>
        <v>9</v>
      </c>
      <c r="C52" s="5">
        <f>COUNTIF(Réponses!$B51:$U51,"="&amp;C$1)/$B$103</f>
        <v>0</v>
      </c>
      <c r="D52" s="5">
        <f>COUNTIF(Réponses!$B51:$U51,"="&amp;D$1)/$B$103</f>
        <v>0</v>
      </c>
      <c r="E52" s="5">
        <f>COUNTIF(Réponses!$B51:$U51,"="&amp;E$1)/$B$103</f>
        <v>0</v>
      </c>
      <c r="F52" s="5">
        <f>COUNTIF(Réponses!$B51:$U51,"="&amp;F$1)/$B$103</f>
        <v>0</v>
      </c>
      <c r="G52" s="5">
        <f>COUNTIF(Réponses!$B51:$U51,"="&amp;G$1)/$B$103</f>
        <v>0</v>
      </c>
      <c r="H52" s="5">
        <f>COUNTIF(Réponses!$B51:$U51,"="&amp;H$1)/$B$103</f>
        <v>0</v>
      </c>
      <c r="I52" s="5">
        <f>COUNTIF(Réponses!$B51:$U51,"="&amp;I$1)/$B$103</f>
        <v>0</v>
      </c>
      <c r="J52" s="5">
        <f>COUNTIF(Réponses!$B51:$U51,"="&amp;J$1)/$B$103</f>
        <v>0</v>
      </c>
      <c r="K52" s="5">
        <f>COUNTIF(Réponses!$B51:$U51,"="&amp;K$1)/$B$103</f>
        <v>1</v>
      </c>
      <c r="L52" s="5">
        <f>COUNTIF(Réponses!$B51:$U51,"="&amp;L$1)/$B$103</f>
        <v>0</v>
      </c>
      <c r="M52" s="5">
        <f>COUNTIF(Réponses!$B51:$U51,"="&amp;M$1)/$B$103</f>
        <v>0</v>
      </c>
      <c r="N52" s="5">
        <f>COUNTIF(Réponses!$B51:$U51,"="&amp;N$1)/$B$103</f>
        <v>0</v>
      </c>
      <c r="O52" s="5">
        <f>COUNTIF(Réponses!$B51:$U51,"="&amp;O$1)/$B$103</f>
        <v>0</v>
      </c>
      <c r="P52" s="5">
        <f>COUNTIF(Réponses!$B51:$U51,"="&amp;P$1)/$B$103</f>
        <v>0</v>
      </c>
      <c r="Q52" s="5">
        <f>COUNTIF(Réponses!$B51:$U51,"="&amp;Q$1)/$B$103</f>
        <v>0</v>
      </c>
      <c r="R52" s="5">
        <f>COUNTIF(Réponses!$B51:$U51,"="&amp;R$1)/$B$103</f>
        <v>0</v>
      </c>
      <c r="S52" s="5">
        <f>COUNTIF(Réponses!$B51:$U51,"="&amp;S$1)/$B$103</f>
        <v>0</v>
      </c>
      <c r="T52" s="5">
        <f>COUNTIF(Réponses!$B51:$U51,"="&amp;T$1)/$B$103</f>
        <v>0</v>
      </c>
      <c r="U52" s="5">
        <f>COUNTIF(Réponses!$B51:$U51,"="&amp;U$1)/$B$103</f>
        <v>0</v>
      </c>
      <c r="V52" s="5">
        <f>COUNTIF(Réponses!$B51:$U51,"="&amp;V$1)/$B$103</f>
        <v>0</v>
      </c>
    </row>
    <row r="53" spans="1:22" x14ac:dyDescent="0.25">
      <c r="A53" s="1">
        <v>51</v>
      </c>
      <c r="B53" s="1">
        <f>INDEX(Cartes!$C$2:$C$101,MATCH($A53,Cartes!$A$2:$A$101,0))</f>
        <v>3</v>
      </c>
      <c r="C53" s="5">
        <f>COUNTIF(Réponses!$B52:$U52,"="&amp;C$1)/$B$103</f>
        <v>0</v>
      </c>
      <c r="D53" s="5">
        <f>COUNTIF(Réponses!$B52:$U52,"="&amp;D$1)/$B$103</f>
        <v>0</v>
      </c>
      <c r="E53" s="5">
        <f>COUNTIF(Réponses!$B52:$U52,"="&amp;E$1)/$B$103</f>
        <v>1</v>
      </c>
      <c r="F53" s="5">
        <f>COUNTIF(Réponses!$B52:$U52,"="&amp;F$1)/$B$103</f>
        <v>0</v>
      </c>
      <c r="G53" s="5">
        <f>COUNTIF(Réponses!$B52:$U52,"="&amp;G$1)/$B$103</f>
        <v>0</v>
      </c>
      <c r="H53" s="5">
        <f>COUNTIF(Réponses!$B52:$U52,"="&amp;H$1)/$B$103</f>
        <v>0</v>
      </c>
      <c r="I53" s="5">
        <f>COUNTIF(Réponses!$B52:$U52,"="&amp;I$1)/$B$103</f>
        <v>0</v>
      </c>
      <c r="J53" s="5">
        <f>COUNTIF(Réponses!$B52:$U52,"="&amp;J$1)/$B$103</f>
        <v>0</v>
      </c>
      <c r="K53" s="5">
        <f>COUNTIF(Réponses!$B52:$U52,"="&amp;K$1)/$B$103</f>
        <v>0</v>
      </c>
      <c r="L53" s="5">
        <f>COUNTIF(Réponses!$B52:$U52,"="&amp;L$1)/$B$103</f>
        <v>0</v>
      </c>
      <c r="M53" s="5">
        <f>COUNTIF(Réponses!$B52:$U52,"="&amp;M$1)/$B$103</f>
        <v>0</v>
      </c>
      <c r="N53" s="5">
        <f>COUNTIF(Réponses!$B52:$U52,"="&amp;N$1)/$B$103</f>
        <v>0</v>
      </c>
      <c r="O53" s="5">
        <f>COUNTIF(Réponses!$B52:$U52,"="&amp;O$1)/$B$103</f>
        <v>0</v>
      </c>
      <c r="P53" s="5">
        <f>COUNTIF(Réponses!$B52:$U52,"="&amp;P$1)/$B$103</f>
        <v>0</v>
      </c>
      <c r="Q53" s="5">
        <f>COUNTIF(Réponses!$B52:$U52,"="&amp;Q$1)/$B$103</f>
        <v>0</v>
      </c>
      <c r="R53" s="5">
        <f>COUNTIF(Réponses!$B52:$U52,"="&amp;R$1)/$B$103</f>
        <v>0</v>
      </c>
      <c r="S53" s="5">
        <f>COUNTIF(Réponses!$B52:$U52,"="&amp;S$1)/$B$103</f>
        <v>0</v>
      </c>
      <c r="T53" s="5">
        <f>COUNTIF(Réponses!$B52:$U52,"="&amp;T$1)/$B$103</f>
        <v>0</v>
      </c>
      <c r="U53" s="5">
        <f>COUNTIF(Réponses!$B52:$U52,"="&amp;U$1)/$B$103</f>
        <v>0</v>
      </c>
      <c r="V53" s="5">
        <f>COUNTIF(Réponses!$B52:$U52,"="&amp;V$1)/$B$103</f>
        <v>0</v>
      </c>
    </row>
    <row r="54" spans="1:22" x14ac:dyDescent="0.25">
      <c r="A54" s="1">
        <v>52</v>
      </c>
      <c r="B54" s="1">
        <f>INDEX(Cartes!$C$2:$C$101,MATCH($A54,Cartes!$A$2:$A$101,0))</f>
        <v>19</v>
      </c>
      <c r="C54" s="5">
        <f>COUNTIF(Réponses!$B53:$U53,"="&amp;C$1)/$B$103</f>
        <v>0</v>
      </c>
      <c r="D54" s="5">
        <f>COUNTIF(Réponses!$B53:$U53,"="&amp;D$1)/$B$103</f>
        <v>0</v>
      </c>
      <c r="E54" s="5">
        <f>COUNTIF(Réponses!$B53:$U53,"="&amp;E$1)/$B$103</f>
        <v>0</v>
      </c>
      <c r="F54" s="5">
        <f>COUNTIF(Réponses!$B53:$U53,"="&amp;F$1)/$B$103</f>
        <v>0</v>
      </c>
      <c r="G54" s="5">
        <f>COUNTIF(Réponses!$B53:$U53,"="&amp;G$1)/$B$103</f>
        <v>0</v>
      </c>
      <c r="H54" s="5">
        <f>COUNTIF(Réponses!$B53:$U53,"="&amp;H$1)/$B$103</f>
        <v>0</v>
      </c>
      <c r="I54" s="5">
        <f>COUNTIF(Réponses!$B53:$U53,"="&amp;I$1)/$B$103</f>
        <v>0</v>
      </c>
      <c r="J54" s="5">
        <f>COUNTIF(Réponses!$B53:$U53,"="&amp;J$1)/$B$103</f>
        <v>0</v>
      </c>
      <c r="K54" s="5">
        <f>COUNTIF(Réponses!$B53:$U53,"="&amp;K$1)/$B$103</f>
        <v>0</v>
      </c>
      <c r="L54" s="5">
        <f>COUNTIF(Réponses!$B53:$U53,"="&amp;L$1)/$B$103</f>
        <v>0</v>
      </c>
      <c r="M54" s="5">
        <f>COUNTIF(Réponses!$B53:$U53,"="&amp;M$1)/$B$103</f>
        <v>0</v>
      </c>
      <c r="N54" s="5">
        <f>COUNTIF(Réponses!$B53:$U53,"="&amp;N$1)/$B$103</f>
        <v>0</v>
      </c>
      <c r="O54" s="5">
        <f>COUNTIF(Réponses!$B53:$U53,"="&amp;O$1)/$B$103</f>
        <v>0</v>
      </c>
      <c r="P54" s="5">
        <f>COUNTIF(Réponses!$B53:$U53,"="&amp;P$1)/$B$103</f>
        <v>0</v>
      </c>
      <c r="Q54" s="5">
        <f>COUNTIF(Réponses!$B53:$U53,"="&amp;Q$1)/$B$103</f>
        <v>0</v>
      </c>
      <c r="R54" s="5">
        <f>COUNTIF(Réponses!$B53:$U53,"="&amp;R$1)/$B$103</f>
        <v>0</v>
      </c>
      <c r="S54" s="5">
        <f>COUNTIF(Réponses!$B53:$U53,"="&amp;S$1)/$B$103</f>
        <v>0</v>
      </c>
      <c r="T54" s="5">
        <f>COUNTIF(Réponses!$B53:$U53,"="&amp;T$1)/$B$103</f>
        <v>0</v>
      </c>
      <c r="U54" s="5">
        <f>COUNTIF(Réponses!$B53:$U53,"="&amp;U$1)/$B$103</f>
        <v>1</v>
      </c>
      <c r="V54" s="5">
        <f>COUNTIF(Réponses!$B53:$U53,"="&amp;V$1)/$B$103</f>
        <v>0</v>
      </c>
    </row>
    <row r="55" spans="1:22" x14ac:dyDescent="0.25">
      <c r="A55" s="1">
        <v>53</v>
      </c>
      <c r="B55" s="1">
        <f>INDEX(Cartes!$C$2:$C$101,MATCH($A55,Cartes!$A$2:$A$101,0))</f>
        <v>13</v>
      </c>
      <c r="C55" s="5">
        <f>COUNTIF(Réponses!$B54:$U54,"="&amp;C$1)/$B$103</f>
        <v>0</v>
      </c>
      <c r="D55" s="5">
        <f>COUNTIF(Réponses!$B54:$U54,"="&amp;D$1)/$B$103</f>
        <v>0</v>
      </c>
      <c r="E55" s="5">
        <f>COUNTIF(Réponses!$B54:$U54,"="&amp;E$1)/$B$103</f>
        <v>0</v>
      </c>
      <c r="F55" s="5">
        <f>COUNTIF(Réponses!$B54:$U54,"="&amp;F$1)/$B$103</f>
        <v>0</v>
      </c>
      <c r="G55" s="5">
        <f>COUNTIF(Réponses!$B54:$U54,"="&amp;G$1)/$B$103</f>
        <v>0</v>
      </c>
      <c r="H55" s="5">
        <f>COUNTIF(Réponses!$B54:$U54,"="&amp;H$1)/$B$103</f>
        <v>0</v>
      </c>
      <c r="I55" s="5">
        <f>COUNTIF(Réponses!$B54:$U54,"="&amp;I$1)/$B$103</f>
        <v>0</v>
      </c>
      <c r="J55" s="5">
        <f>COUNTIF(Réponses!$B54:$U54,"="&amp;J$1)/$B$103</f>
        <v>0</v>
      </c>
      <c r="K55" s="5">
        <f>COUNTIF(Réponses!$B54:$U54,"="&amp;K$1)/$B$103</f>
        <v>0</v>
      </c>
      <c r="L55" s="5">
        <f>COUNTIF(Réponses!$B54:$U54,"="&amp;L$1)/$B$103</f>
        <v>0</v>
      </c>
      <c r="M55" s="5">
        <f>COUNTIF(Réponses!$B54:$U54,"="&amp;M$1)/$B$103</f>
        <v>0</v>
      </c>
      <c r="N55" s="5">
        <f>COUNTIF(Réponses!$B54:$U54,"="&amp;N$1)/$B$103</f>
        <v>0</v>
      </c>
      <c r="O55" s="5">
        <f>COUNTIF(Réponses!$B54:$U54,"="&amp;O$1)/$B$103</f>
        <v>1</v>
      </c>
      <c r="P55" s="5">
        <f>COUNTIF(Réponses!$B54:$U54,"="&amp;P$1)/$B$103</f>
        <v>0</v>
      </c>
      <c r="Q55" s="5">
        <f>COUNTIF(Réponses!$B54:$U54,"="&amp;Q$1)/$B$103</f>
        <v>0</v>
      </c>
      <c r="R55" s="5">
        <f>COUNTIF(Réponses!$B54:$U54,"="&amp;R$1)/$B$103</f>
        <v>0</v>
      </c>
      <c r="S55" s="5">
        <f>COUNTIF(Réponses!$B54:$U54,"="&amp;S$1)/$B$103</f>
        <v>0</v>
      </c>
      <c r="T55" s="5">
        <f>COUNTIF(Réponses!$B54:$U54,"="&amp;T$1)/$B$103</f>
        <v>0</v>
      </c>
      <c r="U55" s="5">
        <f>COUNTIF(Réponses!$B54:$U54,"="&amp;U$1)/$B$103</f>
        <v>0</v>
      </c>
      <c r="V55" s="5">
        <f>COUNTIF(Réponses!$B54:$U54,"="&amp;V$1)/$B$103</f>
        <v>0</v>
      </c>
    </row>
    <row r="56" spans="1:22" x14ac:dyDescent="0.25">
      <c r="A56" s="1">
        <v>54</v>
      </c>
      <c r="B56" s="1">
        <f>INDEX(Cartes!$C$2:$C$101,MATCH($A56,Cartes!$A$2:$A$101,0))</f>
        <v>17</v>
      </c>
      <c r="C56" s="5">
        <f>COUNTIF(Réponses!$B55:$U55,"="&amp;C$1)/$B$103</f>
        <v>0</v>
      </c>
      <c r="D56" s="5">
        <f>COUNTIF(Réponses!$B55:$U55,"="&amp;D$1)/$B$103</f>
        <v>0</v>
      </c>
      <c r="E56" s="5">
        <f>COUNTIF(Réponses!$B55:$U55,"="&amp;E$1)/$B$103</f>
        <v>0</v>
      </c>
      <c r="F56" s="5">
        <f>COUNTIF(Réponses!$B55:$U55,"="&amp;F$1)/$B$103</f>
        <v>0</v>
      </c>
      <c r="G56" s="5">
        <f>COUNTIF(Réponses!$B55:$U55,"="&amp;G$1)/$B$103</f>
        <v>0</v>
      </c>
      <c r="H56" s="5">
        <f>COUNTIF(Réponses!$B55:$U55,"="&amp;H$1)/$B$103</f>
        <v>0</v>
      </c>
      <c r="I56" s="5">
        <f>COUNTIF(Réponses!$B55:$U55,"="&amp;I$1)/$B$103</f>
        <v>0</v>
      </c>
      <c r="J56" s="5">
        <f>COUNTIF(Réponses!$B55:$U55,"="&amp;J$1)/$B$103</f>
        <v>0</v>
      </c>
      <c r="K56" s="5">
        <f>COUNTIF(Réponses!$B55:$U55,"="&amp;K$1)/$B$103</f>
        <v>0</v>
      </c>
      <c r="L56" s="5">
        <f>COUNTIF(Réponses!$B55:$U55,"="&amp;L$1)/$B$103</f>
        <v>0</v>
      </c>
      <c r="M56" s="5">
        <f>COUNTIF(Réponses!$B55:$U55,"="&amp;M$1)/$B$103</f>
        <v>0</v>
      </c>
      <c r="N56" s="5">
        <f>COUNTIF(Réponses!$B55:$U55,"="&amp;N$1)/$B$103</f>
        <v>0</v>
      </c>
      <c r="O56" s="5">
        <f>COUNTIF(Réponses!$B55:$U55,"="&amp;O$1)/$B$103</f>
        <v>0</v>
      </c>
      <c r="P56" s="5">
        <f>COUNTIF(Réponses!$B55:$U55,"="&amp;P$1)/$B$103</f>
        <v>0</v>
      </c>
      <c r="Q56" s="5">
        <f>COUNTIF(Réponses!$B55:$U55,"="&amp;Q$1)/$B$103</f>
        <v>0</v>
      </c>
      <c r="R56" s="5">
        <f>COUNTIF(Réponses!$B55:$U55,"="&amp;R$1)/$B$103</f>
        <v>0</v>
      </c>
      <c r="S56" s="5">
        <f>COUNTIF(Réponses!$B55:$U55,"="&amp;S$1)/$B$103</f>
        <v>1</v>
      </c>
      <c r="T56" s="5">
        <f>COUNTIF(Réponses!$B55:$U55,"="&amp;T$1)/$B$103</f>
        <v>0</v>
      </c>
      <c r="U56" s="5">
        <f>COUNTIF(Réponses!$B55:$U55,"="&amp;U$1)/$B$103</f>
        <v>0</v>
      </c>
      <c r="V56" s="5">
        <f>COUNTIF(Réponses!$B55:$U55,"="&amp;V$1)/$B$103</f>
        <v>0</v>
      </c>
    </row>
    <row r="57" spans="1:22" x14ac:dyDescent="0.25">
      <c r="A57" s="1">
        <v>55</v>
      </c>
      <c r="B57" s="1">
        <f>INDEX(Cartes!$C$2:$C$101,MATCH($A57,Cartes!$A$2:$A$101,0))</f>
        <v>15</v>
      </c>
      <c r="C57" s="5">
        <f>COUNTIF(Réponses!$B56:$U56,"="&amp;C$1)/$B$103</f>
        <v>0</v>
      </c>
      <c r="D57" s="5">
        <f>COUNTIF(Réponses!$B56:$U56,"="&amp;D$1)/$B$103</f>
        <v>0</v>
      </c>
      <c r="E57" s="5">
        <f>COUNTIF(Réponses!$B56:$U56,"="&amp;E$1)/$B$103</f>
        <v>0</v>
      </c>
      <c r="F57" s="5">
        <f>COUNTIF(Réponses!$B56:$U56,"="&amp;F$1)/$B$103</f>
        <v>0</v>
      </c>
      <c r="G57" s="5">
        <f>COUNTIF(Réponses!$B56:$U56,"="&amp;G$1)/$B$103</f>
        <v>0</v>
      </c>
      <c r="H57" s="5">
        <f>COUNTIF(Réponses!$B56:$U56,"="&amp;H$1)/$B$103</f>
        <v>0</v>
      </c>
      <c r="I57" s="5">
        <f>COUNTIF(Réponses!$B56:$U56,"="&amp;I$1)/$B$103</f>
        <v>0</v>
      </c>
      <c r="J57" s="5">
        <f>COUNTIF(Réponses!$B56:$U56,"="&amp;J$1)/$B$103</f>
        <v>0</v>
      </c>
      <c r="K57" s="5">
        <f>COUNTIF(Réponses!$B56:$U56,"="&amp;K$1)/$B$103</f>
        <v>0</v>
      </c>
      <c r="L57" s="5">
        <f>COUNTIF(Réponses!$B56:$U56,"="&amp;L$1)/$B$103</f>
        <v>0</v>
      </c>
      <c r="M57" s="5">
        <f>COUNTIF(Réponses!$B56:$U56,"="&amp;M$1)/$B$103</f>
        <v>0</v>
      </c>
      <c r="N57" s="5">
        <f>COUNTIF(Réponses!$B56:$U56,"="&amp;N$1)/$B$103</f>
        <v>0</v>
      </c>
      <c r="O57" s="5">
        <f>COUNTIF(Réponses!$B56:$U56,"="&amp;O$1)/$B$103</f>
        <v>0</v>
      </c>
      <c r="P57" s="5">
        <f>COUNTIF(Réponses!$B56:$U56,"="&amp;P$1)/$B$103</f>
        <v>0</v>
      </c>
      <c r="Q57" s="5">
        <f>COUNTIF(Réponses!$B56:$U56,"="&amp;Q$1)/$B$103</f>
        <v>1</v>
      </c>
      <c r="R57" s="5">
        <f>COUNTIF(Réponses!$B56:$U56,"="&amp;R$1)/$B$103</f>
        <v>0</v>
      </c>
      <c r="S57" s="5">
        <f>COUNTIF(Réponses!$B56:$U56,"="&amp;S$1)/$B$103</f>
        <v>0</v>
      </c>
      <c r="T57" s="5">
        <f>COUNTIF(Réponses!$B56:$U56,"="&amp;T$1)/$B$103</f>
        <v>0</v>
      </c>
      <c r="U57" s="5">
        <f>COUNTIF(Réponses!$B56:$U56,"="&amp;U$1)/$B$103</f>
        <v>0</v>
      </c>
      <c r="V57" s="5">
        <f>COUNTIF(Réponses!$B56:$U56,"="&amp;V$1)/$B$103</f>
        <v>0</v>
      </c>
    </row>
    <row r="58" spans="1:22" x14ac:dyDescent="0.25">
      <c r="A58" s="1">
        <v>56</v>
      </c>
      <c r="B58" s="1">
        <f>INDEX(Cartes!$C$2:$C$101,MATCH($A58,Cartes!$A$2:$A$101,0))</f>
        <v>18</v>
      </c>
      <c r="C58" s="5">
        <f>COUNTIF(Réponses!$B57:$U57,"="&amp;C$1)/$B$103</f>
        <v>0</v>
      </c>
      <c r="D58" s="5">
        <f>COUNTIF(Réponses!$B57:$U57,"="&amp;D$1)/$B$103</f>
        <v>0</v>
      </c>
      <c r="E58" s="5">
        <f>COUNTIF(Réponses!$B57:$U57,"="&amp;E$1)/$B$103</f>
        <v>0</v>
      </c>
      <c r="F58" s="5">
        <f>COUNTIF(Réponses!$B57:$U57,"="&amp;F$1)/$B$103</f>
        <v>0</v>
      </c>
      <c r="G58" s="5">
        <f>COUNTIF(Réponses!$B57:$U57,"="&amp;G$1)/$B$103</f>
        <v>0</v>
      </c>
      <c r="H58" s="5">
        <f>COUNTIF(Réponses!$B57:$U57,"="&amp;H$1)/$B$103</f>
        <v>0</v>
      </c>
      <c r="I58" s="5">
        <f>COUNTIF(Réponses!$B57:$U57,"="&amp;I$1)/$B$103</f>
        <v>0</v>
      </c>
      <c r="J58" s="5">
        <f>COUNTIF(Réponses!$B57:$U57,"="&amp;J$1)/$B$103</f>
        <v>0</v>
      </c>
      <c r="K58" s="5">
        <f>COUNTIF(Réponses!$B57:$U57,"="&amp;K$1)/$B$103</f>
        <v>0</v>
      </c>
      <c r="L58" s="5">
        <f>COUNTIF(Réponses!$B57:$U57,"="&amp;L$1)/$B$103</f>
        <v>0</v>
      </c>
      <c r="M58" s="5">
        <f>COUNTIF(Réponses!$B57:$U57,"="&amp;M$1)/$B$103</f>
        <v>0</v>
      </c>
      <c r="N58" s="5">
        <f>COUNTIF(Réponses!$B57:$U57,"="&amp;N$1)/$B$103</f>
        <v>0</v>
      </c>
      <c r="O58" s="5">
        <f>COUNTIF(Réponses!$B57:$U57,"="&amp;O$1)/$B$103</f>
        <v>0</v>
      </c>
      <c r="P58" s="5">
        <f>COUNTIF(Réponses!$B57:$U57,"="&amp;P$1)/$B$103</f>
        <v>0</v>
      </c>
      <c r="Q58" s="5">
        <f>COUNTIF(Réponses!$B57:$U57,"="&amp;Q$1)/$B$103</f>
        <v>0</v>
      </c>
      <c r="R58" s="5">
        <f>COUNTIF(Réponses!$B57:$U57,"="&amp;R$1)/$B$103</f>
        <v>0</v>
      </c>
      <c r="S58" s="5">
        <f>COUNTIF(Réponses!$B57:$U57,"="&amp;S$1)/$B$103</f>
        <v>0</v>
      </c>
      <c r="T58" s="5">
        <f>COUNTIF(Réponses!$B57:$U57,"="&amp;T$1)/$B$103</f>
        <v>1</v>
      </c>
      <c r="U58" s="5">
        <f>COUNTIF(Réponses!$B57:$U57,"="&amp;U$1)/$B$103</f>
        <v>0</v>
      </c>
      <c r="V58" s="5">
        <f>COUNTIF(Réponses!$B57:$U57,"="&amp;V$1)/$B$103</f>
        <v>0</v>
      </c>
    </row>
    <row r="59" spans="1:22" x14ac:dyDescent="0.25">
      <c r="A59" s="1">
        <v>57</v>
      </c>
      <c r="B59" s="1">
        <f>INDEX(Cartes!$C$2:$C$101,MATCH($A59,Cartes!$A$2:$A$101,0))</f>
        <v>13</v>
      </c>
      <c r="C59" s="5">
        <f>COUNTIF(Réponses!$B58:$U58,"="&amp;C$1)/$B$103</f>
        <v>0</v>
      </c>
      <c r="D59" s="5">
        <f>COUNTIF(Réponses!$B58:$U58,"="&amp;D$1)/$B$103</f>
        <v>0</v>
      </c>
      <c r="E59" s="5">
        <f>COUNTIF(Réponses!$B58:$U58,"="&amp;E$1)/$B$103</f>
        <v>0</v>
      </c>
      <c r="F59" s="5">
        <f>COUNTIF(Réponses!$B58:$U58,"="&amp;F$1)/$B$103</f>
        <v>0</v>
      </c>
      <c r="G59" s="5">
        <f>COUNTIF(Réponses!$B58:$U58,"="&amp;G$1)/$B$103</f>
        <v>0</v>
      </c>
      <c r="H59" s="5">
        <f>COUNTIF(Réponses!$B58:$U58,"="&amp;H$1)/$B$103</f>
        <v>0</v>
      </c>
      <c r="I59" s="5">
        <f>COUNTIF(Réponses!$B58:$U58,"="&amp;I$1)/$B$103</f>
        <v>0</v>
      </c>
      <c r="J59" s="5">
        <f>COUNTIF(Réponses!$B58:$U58,"="&amp;J$1)/$B$103</f>
        <v>0</v>
      </c>
      <c r="K59" s="5">
        <f>COUNTIF(Réponses!$B58:$U58,"="&amp;K$1)/$B$103</f>
        <v>0</v>
      </c>
      <c r="L59" s="5">
        <f>COUNTIF(Réponses!$B58:$U58,"="&amp;L$1)/$B$103</f>
        <v>0</v>
      </c>
      <c r="M59" s="5">
        <f>COUNTIF(Réponses!$B58:$U58,"="&amp;M$1)/$B$103</f>
        <v>0</v>
      </c>
      <c r="N59" s="5">
        <f>COUNTIF(Réponses!$B58:$U58,"="&amp;N$1)/$B$103</f>
        <v>0</v>
      </c>
      <c r="O59" s="5">
        <f>COUNTIF(Réponses!$B58:$U58,"="&amp;O$1)/$B$103</f>
        <v>1</v>
      </c>
      <c r="P59" s="5">
        <f>COUNTIF(Réponses!$B58:$U58,"="&amp;P$1)/$B$103</f>
        <v>0</v>
      </c>
      <c r="Q59" s="5">
        <f>COUNTIF(Réponses!$B58:$U58,"="&amp;Q$1)/$B$103</f>
        <v>0</v>
      </c>
      <c r="R59" s="5">
        <f>COUNTIF(Réponses!$B58:$U58,"="&amp;R$1)/$B$103</f>
        <v>0</v>
      </c>
      <c r="S59" s="5">
        <f>COUNTIF(Réponses!$B58:$U58,"="&amp;S$1)/$B$103</f>
        <v>0</v>
      </c>
      <c r="T59" s="5">
        <f>COUNTIF(Réponses!$B58:$U58,"="&amp;T$1)/$B$103</f>
        <v>0</v>
      </c>
      <c r="U59" s="5">
        <f>COUNTIF(Réponses!$B58:$U58,"="&amp;U$1)/$B$103</f>
        <v>0</v>
      </c>
      <c r="V59" s="5">
        <f>COUNTIF(Réponses!$B58:$U58,"="&amp;V$1)/$B$103</f>
        <v>0</v>
      </c>
    </row>
    <row r="60" spans="1:22" x14ac:dyDescent="0.25">
      <c r="A60" s="1">
        <v>58</v>
      </c>
      <c r="B60" s="1">
        <f>INDEX(Cartes!$C$2:$C$101,MATCH($A60,Cartes!$A$2:$A$101,0))</f>
        <v>13</v>
      </c>
      <c r="C60" s="5">
        <f>COUNTIF(Réponses!$B59:$U59,"="&amp;C$1)/$B$103</f>
        <v>0</v>
      </c>
      <c r="D60" s="5">
        <f>COUNTIF(Réponses!$B59:$U59,"="&amp;D$1)/$B$103</f>
        <v>0</v>
      </c>
      <c r="E60" s="5">
        <f>COUNTIF(Réponses!$B59:$U59,"="&amp;E$1)/$B$103</f>
        <v>0</v>
      </c>
      <c r="F60" s="5">
        <f>COUNTIF(Réponses!$B59:$U59,"="&amp;F$1)/$B$103</f>
        <v>0</v>
      </c>
      <c r="G60" s="5">
        <f>COUNTIF(Réponses!$B59:$U59,"="&amp;G$1)/$B$103</f>
        <v>0</v>
      </c>
      <c r="H60" s="5">
        <f>COUNTIF(Réponses!$B59:$U59,"="&amp;H$1)/$B$103</f>
        <v>0</v>
      </c>
      <c r="I60" s="5">
        <f>COUNTIF(Réponses!$B59:$U59,"="&amp;I$1)/$B$103</f>
        <v>0</v>
      </c>
      <c r="J60" s="5">
        <f>COUNTIF(Réponses!$B59:$U59,"="&amp;J$1)/$B$103</f>
        <v>0</v>
      </c>
      <c r="K60" s="5">
        <f>COUNTIF(Réponses!$B59:$U59,"="&amp;K$1)/$B$103</f>
        <v>0</v>
      </c>
      <c r="L60" s="5">
        <f>COUNTIF(Réponses!$B59:$U59,"="&amp;L$1)/$B$103</f>
        <v>0</v>
      </c>
      <c r="M60" s="5">
        <f>COUNTIF(Réponses!$B59:$U59,"="&amp;M$1)/$B$103</f>
        <v>0</v>
      </c>
      <c r="N60" s="5">
        <f>COUNTIF(Réponses!$B59:$U59,"="&amp;N$1)/$B$103</f>
        <v>0</v>
      </c>
      <c r="O60" s="5">
        <f>COUNTIF(Réponses!$B59:$U59,"="&amp;O$1)/$B$103</f>
        <v>1</v>
      </c>
      <c r="P60" s="5">
        <f>COUNTIF(Réponses!$B59:$U59,"="&amp;P$1)/$B$103</f>
        <v>0</v>
      </c>
      <c r="Q60" s="5">
        <f>COUNTIF(Réponses!$B59:$U59,"="&amp;Q$1)/$B$103</f>
        <v>0</v>
      </c>
      <c r="R60" s="5">
        <f>COUNTIF(Réponses!$B59:$U59,"="&amp;R$1)/$B$103</f>
        <v>0</v>
      </c>
      <c r="S60" s="5">
        <f>COUNTIF(Réponses!$B59:$U59,"="&amp;S$1)/$B$103</f>
        <v>0</v>
      </c>
      <c r="T60" s="5">
        <f>COUNTIF(Réponses!$B59:$U59,"="&amp;T$1)/$B$103</f>
        <v>0</v>
      </c>
      <c r="U60" s="5">
        <f>COUNTIF(Réponses!$B59:$U59,"="&amp;U$1)/$B$103</f>
        <v>0</v>
      </c>
      <c r="V60" s="5">
        <f>COUNTIF(Réponses!$B59:$U59,"="&amp;V$1)/$B$103</f>
        <v>0</v>
      </c>
    </row>
    <row r="61" spans="1:22" x14ac:dyDescent="0.25">
      <c r="A61" s="1">
        <v>59</v>
      </c>
      <c r="B61" s="1">
        <f>INDEX(Cartes!$C$2:$C$101,MATCH($A61,Cartes!$A$2:$A$101,0))</f>
        <v>15</v>
      </c>
      <c r="C61" s="5">
        <f>COUNTIF(Réponses!$B60:$U60,"="&amp;C$1)/$B$103</f>
        <v>0</v>
      </c>
      <c r="D61" s="5">
        <f>COUNTIF(Réponses!$B60:$U60,"="&amp;D$1)/$B$103</f>
        <v>0</v>
      </c>
      <c r="E61" s="5">
        <f>COUNTIF(Réponses!$B60:$U60,"="&amp;E$1)/$B$103</f>
        <v>0</v>
      </c>
      <c r="F61" s="5">
        <f>COUNTIF(Réponses!$B60:$U60,"="&amp;F$1)/$B$103</f>
        <v>0</v>
      </c>
      <c r="G61" s="5">
        <f>COUNTIF(Réponses!$B60:$U60,"="&amp;G$1)/$B$103</f>
        <v>0</v>
      </c>
      <c r="H61" s="5">
        <f>COUNTIF(Réponses!$B60:$U60,"="&amp;H$1)/$B$103</f>
        <v>0</v>
      </c>
      <c r="I61" s="5">
        <f>COUNTIF(Réponses!$B60:$U60,"="&amp;I$1)/$B$103</f>
        <v>0</v>
      </c>
      <c r="J61" s="5">
        <f>COUNTIF(Réponses!$B60:$U60,"="&amp;J$1)/$B$103</f>
        <v>0</v>
      </c>
      <c r="K61" s="5">
        <f>COUNTIF(Réponses!$B60:$U60,"="&amp;K$1)/$B$103</f>
        <v>0</v>
      </c>
      <c r="L61" s="5">
        <f>COUNTIF(Réponses!$B60:$U60,"="&amp;L$1)/$B$103</f>
        <v>0</v>
      </c>
      <c r="M61" s="5">
        <f>COUNTIF(Réponses!$B60:$U60,"="&amp;M$1)/$B$103</f>
        <v>0</v>
      </c>
      <c r="N61" s="5">
        <f>COUNTIF(Réponses!$B60:$U60,"="&amp;N$1)/$B$103</f>
        <v>0</v>
      </c>
      <c r="O61" s="5">
        <f>COUNTIF(Réponses!$B60:$U60,"="&amp;O$1)/$B$103</f>
        <v>0</v>
      </c>
      <c r="P61" s="5">
        <f>COUNTIF(Réponses!$B60:$U60,"="&amp;P$1)/$B$103</f>
        <v>0</v>
      </c>
      <c r="Q61" s="5">
        <f>COUNTIF(Réponses!$B60:$U60,"="&amp;Q$1)/$B$103</f>
        <v>1</v>
      </c>
      <c r="R61" s="5">
        <f>COUNTIF(Réponses!$B60:$U60,"="&amp;R$1)/$B$103</f>
        <v>0</v>
      </c>
      <c r="S61" s="5">
        <f>COUNTIF(Réponses!$B60:$U60,"="&amp;S$1)/$B$103</f>
        <v>0</v>
      </c>
      <c r="T61" s="5">
        <f>COUNTIF(Réponses!$B60:$U60,"="&amp;T$1)/$B$103</f>
        <v>0</v>
      </c>
      <c r="U61" s="5">
        <f>COUNTIF(Réponses!$B60:$U60,"="&amp;U$1)/$B$103</f>
        <v>0</v>
      </c>
      <c r="V61" s="5">
        <f>COUNTIF(Réponses!$B60:$U60,"="&amp;V$1)/$B$103</f>
        <v>0</v>
      </c>
    </row>
    <row r="62" spans="1:22" x14ac:dyDescent="0.25">
      <c r="A62" s="1">
        <v>60</v>
      </c>
      <c r="B62" s="1">
        <f>INDEX(Cartes!$C$2:$C$101,MATCH($A62,Cartes!$A$2:$A$101,0))</f>
        <v>14</v>
      </c>
      <c r="C62" s="5">
        <f>COUNTIF(Réponses!$B61:$U61,"="&amp;C$1)/$B$103</f>
        <v>0</v>
      </c>
      <c r="D62" s="5">
        <f>COUNTIF(Réponses!$B61:$U61,"="&amp;D$1)/$B$103</f>
        <v>0</v>
      </c>
      <c r="E62" s="5">
        <f>COUNTIF(Réponses!$B61:$U61,"="&amp;E$1)/$B$103</f>
        <v>0.25</v>
      </c>
      <c r="F62" s="5">
        <f>COUNTIF(Réponses!$B61:$U61,"="&amp;F$1)/$B$103</f>
        <v>0</v>
      </c>
      <c r="G62" s="5">
        <f>COUNTIF(Réponses!$B61:$U61,"="&amp;G$1)/$B$103</f>
        <v>0</v>
      </c>
      <c r="H62" s="5">
        <f>COUNTIF(Réponses!$B61:$U61,"="&amp;H$1)/$B$103</f>
        <v>0</v>
      </c>
      <c r="I62" s="5">
        <f>COUNTIF(Réponses!$B61:$U61,"="&amp;I$1)/$B$103</f>
        <v>0</v>
      </c>
      <c r="J62" s="5">
        <f>COUNTIF(Réponses!$B61:$U61,"="&amp;J$1)/$B$103</f>
        <v>0</v>
      </c>
      <c r="K62" s="5">
        <f>COUNTIF(Réponses!$B61:$U61,"="&amp;K$1)/$B$103</f>
        <v>0</v>
      </c>
      <c r="L62" s="5">
        <f>COUNTIF(Réponses!$B61:$U61,"="&amp;L$1)/$B$103</f>
        <v>0</v>
      </c>
      <c r="M62" s="5">
        <f>COUNTIF(Réponses!$B61:$U61,"="&amp;M$1)/$B$103</f>
        <v>0</v>
      </c>
      <c r="N62" s="5">
        <f>COUNTIF(Réponses!$B61:$U61,"="&amp;N$1)/$B$103</f>
        <v>0</v>
      </c>
      <c r="O62" s="5">
        <f>COUNTIF(Réponses!$B61:$U61,"="&amp;O$1)/$B$103</f>
        <v>0</v>
      </c>
      <c r="P62" s="5">
        <f>COUNTIF(Réponses!$B61:$U61,"="&amp;P$1)/$B$103</f>
        <v>0.75</v>
      </c>
      <c r="Q62" s="5">
        <f>COUNTIF(Réponses!$B61:$U61,"="&amp;Q$1)/$B$103</f>
        <v>0</v>
      </c>
      <c r="R62" s="5">
        <f>COUNTIF(Réponses!$B61:$U61,"="&amp;R$1)/$B$103</f>
        <v>0</v>
      </c>
      <c r="S62" s="5">
        <f>COUNTIF(Réponses!$B61:$U61,"="&amp;S$1)/$B$103</f>
        <v>0</v>
      </c>
      <c r="T62" s="5">
        <f>COUNTIF(Réponses!$B61:$U61,"="&amp;T$1)/$B$103</f>
        <v>0</v>
      </c>
      <c r="U62" s="5">
        <f>COUNTIF(Réponses!$B61:$U61,"="&amp;U$1)/$B$103</f>
        <v>0</v>
      </c>
      <c r="V62" s="5">
        <f>COUNTIF(Réponses!$B61:$U61,"="&amp;V$1)/$B$103</f>
        <v>0</v>
      </c>
    </row>
    <row r="63" spans="1:22" x14ac:dyDescent="0.25">
      <c r="A63" s="1">
        <v>61</v>
      </c>
      <c r="B63" s="1">
        <f>INDEX(Cartes!$C$2:$C$101,MATCH($A63,Cartes!$A$2:$A$101,0))</f>
        <v>7</v>
      </c>
      <c r="C63" s="5">
        <f>COUNTIF(Réponses!$B62:$U62,"="&amp;C$1)/$B$103</f>
        <v>0</v>
      </c>
      <c r="D63" s="5">
        <f>COUNTIF(Réponses!$B62:$U62,"="&amp;D$1)/$B$103</f>
        <v>0</v>
      </c>
      <c r="E63" s="5">
        <f>COUNTIF(Réponses!$B62:$U62,"="&amp;E$1)/$B$103</f>
        <v>0</v>
      </c>
      <c r="F63" s="5">
        <f>COUNTIF(Réponses!$B62:$U62,"="&amp;F$1)/$B$103</f>
        <v>0</v>
      </c>
      <c r="G63" s="5">
        <f>COUNTIF(Réponses!$B62:$U62,"="&amp;G$1)/$B$103</f>
        <v>0</v>
      </c>
      <c r="H63" s="5">
        <f>COUNTIF(Réponses!$B62:$U62,"="&amp;H$1)/$B$103</f>
        <v>0</v>
      </c>
      <c r="I63" s="5">
        <f>COUNTIF(Réponses!$B62:$U62,"="&amp;I$1)/$B$103</f>
        <v>1</v>
      </c>
      <c r="J63" s="5">
        <f>COUNTIF(Réponses!$B62:$U62,"="&amp;J$1)/$B$103</f>
        <v>0</v>
      </c>
      <c r="K63" s="5">
        <f>COUNTIF(Réponses!$B62:$U62,"="&amp;K$1)/$B$103</f>
        <v>0</v>
      </c>
      <c r="L63" s="5">
        <f>COUNTIF(Réponses!$B62:$U62,"="&amp;L$1)/$B$103</f>
        <v>0</v>
      </c>
      <c r="M63" s="5">
        <f>COUNTIF(Réponses!$B62:$U62,"="&amp;M$1)/$B$103</f>
        <v>0</v>
      </c>
      <c r="N63" s="5">
        <f>COUNTIF(Réponses!$B62:$U62,"="&amp;N$1)/$B$103</f>
        <v>0</v>
      </c>
      <c r="O63" s="5">
        <f>COUNTIF(Réponses!$B62:$U62,"="&amp;O$1)/$B$103</f>
        <v>0</v>
      </c>
      <c r="P63" s="5">
        <f>COUNTIF(Réponses!$B62:$U62,"="&amp;P$1)/$B$103</f>
        <v>0</v>
      </c>
      <c r="Q63" s="5">
        <f>COUNTIF(Réponses!$B62:$U62,"="&amp;Q$1)/$B$103</f>
        <v>0</v>
      </c>
      <c r="R63" s="5">
        <f>COUNTIF(Réponses!$B62:$U62,"="&amp;R$1)/$B$103</f>
        <v>0</v>
      </c>
      <c r="S63" s="5">
        <f>COUNTIF(Réponses!$B62:$U62,"="&amp;S$1)/$B$103</f>
        <v>0</v>
      </c>
      <c r="T63" s="5">
        <f>COUNTIF(Réponses!$B62:$U62,"="&amp;T$1)/$B$103</f>
        <v>0</v>
      </c>
      <c r="U63" s="5">
        <f>COUNTIF(Réponses!$B62:$U62,"="&amp;U$1)/$B$103</f>
        <v>0</v>
      </c>
      <c r="V63" s="5">
        <f>COUNTIF(Réponses!$B62:$U62,"="&amp;V$1)/$B$103</f>
        <v>0</v>
      </c>
    </row>
    <row r="64" spans="1:22" x14ac:dyDescent="0.25">
      <c r="A64" s="1">
        <v>62</v>
      </c>
      <c r="B64" s="1">
        <f>INDEX(Cartes!$C$2:$C$101,MATCH($A64,Cartes!$A$2:$A$101,0))</f>
        <v>13</v>
      </c>
      <c r="C64" s="5">
        <f>COUNTIF(Réponses!$B63:$U63,"="&amp;C$1)/$B$103</f>
        <v>0</v>
      </c>
      <c r="D64" s="5">
        <f>COUNTIF(Réponses!$B63:$U63,"="&amp;D$1)/$B$103</f>
        <v>0</v>
      </c>
      <c r="E64" s="5">
        <f>COUNTIF(Réponses!$B63:$U63,"="&amp;E$1)/$B$103</f>
        <v>0</v>
      </c>
      <c r="F64" s="5">
        <f>COUNTIF(Réponses!$B63:$U63,"="&amp;F$1)/$B$103</f>
        <v>0</v>
      </c>
      <c r="G64" s="5">
        <f>COUNTIF(Réponses!$B63:$U63,"="&amp;G$1)/$B$103</f>
        <v>0</v>
      </c>
      <c r="H64" s="5">
        <f>COUNTIF(Réponses!$B63:$U63,"="&amp;H$1)/$B$103</f>
        <v>0</v>
      </c>
      <c r="I64" s="5">
        <f>COUNTIF(Réponses!$B63:$U63,"="&amp;I$1)/$B$103</f>
        <v>0</v>
      </c>
      <c r="J64" s="5">
        <f>COUNTIF(Réponses!$B63:$U63,"="&amp;J$1)/$B$103</f>
        <v>0</v>
      </c>
      <c r="K64" s="5">
        <f>COUNTIF(Réponses!$B63:$U63,"="&amp;K$1)/$B$103</f>
        <v>0</v>
      </c>
      <c r="L64" s="5">
        <f>COUNTIF(Réponses!$B63:$U63,"="&amp;L$1)/$B$103</f>
        <v>0</v>
      </c>
      <c r="M64" s="5">
        <f>COUNTIF(Réponses!$B63:$U63,"="&amp;M$1)/$B$103</f>
        <v>0</v>
      </c>
      <c r="N64" s="5">
        <f>COUNTIF(Réponses!$B63:$U63,"="&amp;N$1)/$B$103</f>
        <v>0</v>
      </c>
      <c r="O64" s="5">
        <f>COUNTIF(Réponses!$B63:$U63,"="&amp;O$1)/$B$103</f>
        <v>1</v>
      </c>
      <c r="P64" s="5">
        <f>COUNTIF(Réponses!$B63:$U63,"="&amp;P$1)/$B$103</f>
        <v>0</v>
      </c>
      <c r="Q64" s="5">
        <f>COUNTIF(Réponses!$B63:$U63,"="&amp;Q$1)/$B$103</f>
        <v>0</v>
      </c>
      <c r="R64" s="5">
        <f>COUNTIF(Réponses!$B63:$U63,"="&amp;R$1)/$B$103</f>
        <v>0</v>
      </c>
      <c r="S64" s="5">
        <f>COUNTIF(Réponses!$B63:$U63,"="&amp;S$1)/$B$103</f>
        <v>0</v>
      </c>
      <c r="T64" s="5">
        <f>COUNTIF(Réponses!$B63:$U63,"="&amp;T$1)/$B$103</f>
        <v>0</v>
      </c>
      <c r="U64" s="5">
        <f>COUNTIF(Réponses!$B63:$U63,"="&amp;U$1)/$B$103</f>
        <v>0</v>
      </c>
      <c r="V64" s="5">
        <f>COUNTIF(Réponses!$B63:$U63,"="&amp;V$1)/$B$103</f>
        <v>0</v>
      </c>
    </row>
    <row r="65" spans="1:22" x14ac:dyDescent="0.25">
      <c r="A65" s="1">
        <v>63</v>
      </c>
      <c r="B65" s="1">
        <f>INDEX(Cartes!$C$2:$C$101,MATCH($A65,Cartes!$A$2:$A$101,0))</f>
        <v>19</v>
      </c>
      <c r="C65" s="5">
        <f>COUNTIF(Réponses!$B64:$U64,"="&amp;C$1)/$B$103</f>
        <v>0</v>
      </c>
      <c r="D65" s="5">
        <f>COUNTIF(Réponses!$B64:$U64,"="&amp;D$1)/$B$103</f>
        <v>0</v>
      </c>
      <c r="E65" s="5">
        <f>COUNTIF(Réponses!$B64:$U64,"="&amp;E$1)/$B$103</f>
        <v>0</v>
      </c>
      <c r="F65" s="5">
        <f>COUNTIF(Réponses!$B64:$U64,"="&amp;F$1)/$B$103</f>
        <v>0</v>
      </c>
      <c r="G65" s="5">
        <f>COUNTIF(Réponses!$B64:$U64,"="&amp;G$1)/$B$103</f>
        <v>0</v>
      </c>
      <c r="H65" s="5">
        <f>COUNTIF(Réponses!$B64:$U64,"="&amp;H$1)/$B$103</f>
        <v>0</v>
      </c>
      <c r="I65" s="5">
        <f>COUNTIF(Réponses!$B64:$U64,"="&amp;I$1)/$B$103</f>
        <v>0</v>
      </c>
      <c r="J65" s="5">
        <f>COUNTIF(Réponses!$B64:$U64,"="&amp;J$1)/$B$103</f>
        <v>0</v>
      </c>
      <c r="K65" s="5">
        <f>COUNTIF(Réponses!$B64:$U64,"="&amp;K$1)/$B$103</f>
        <v>0</v>
      </c>
      <c r="L65" s="5">
        <f>COUNTIF(Réponses!$B64:$U64,"="&amp;L$1)/$B$103</f>
        <v>0</v>
      </c>
      <c r="M65" s="5">
        <f>COUNTIF(Réponses!$B64:$U64,"="&amp;M$1)/$B$103</f>
        <v>0</v>
      </c>
      <c r="N65" s="5">
        <f>COUNTIF(Réponses!$B64:$U64,"="&amp;N$1)/$B$103</f>
        <v>0</v>
      </c>
      <c r="O65" s="5">
        <f>COUNTIF(Réponses!$B64:$U64,"="&amp;O$1)/$B$103</f>
        <v>0</v>
      </c>
      <c r="P65" s="5">
        <f>COUNTIF(Réponses!$B64:$U64,"="&amp;P$1)/$B$103</f>
        <v>0</v>
      </c>
      <c r="Q65" s="5">
        <f>COUNTIF(Réponses!$B64:$U64,"="&amp;Q$1)/$B$103</f>
        <v>0</v>
      </c>
      <c r="R65" s="5">
        <f>COUNTIF(Réponses!$B64:$U64,"="&amp;R$1)/$B$103</f>
        <v>0</v>
      </c>
      <c r="S65" s="5">
        <f>COUNTIF(Réponses!$B64:$U64,"="&amp;S$1)/$B$103</f>
        <v>0</v>
      </c>
      <c r="T65" s="5">
        <f>COUNTIF(Réponses!$B64:$U64,"="&amp;T$1)/$B$103</f>
        <v>0</v>
      </c>
      <c r="U65" s="5">
        <f>COUNTIF(Réponses!$B64:$U64,"="&amp;U$1)/$B$103</f>
        <v>1</v>
      </c>
      <c r="V65" s="5">
        <f>COUNTIF(Réponses!$B64:$U64,"="&amp;V$1)/$B$103</f>
        <v>0</v>
      </c>
    </row>
    <row r="66" spans="1:22" x14ac:dyDescent="0.25">
      <c r="A66" s="1">
        <v>64</v>
      </c>
      <c r="B66" s="1">
        <f>INDEX(Cartes!$C$2:$C$101,MATCH($A66,Cartes!$A$2:$A$101,0))</f>
        <v>17</v>
      </c>
      <c r="C66" s="5">
        <f>COUNTIF(Réponses!$B65:$U65,"="&amp;C$1)/$B$103</f>
        <v>0</v>
      </c>
      <c r="D66" s="5">
        <f>COUNTIF(Réponses!$B65:$U65,"="&amp;D$1)/$B$103</f>
        <v>0</v>
      </c>
      <c r="E66" s="5">
        <f>COUNTIF(Réponses!$B65:$U65,"="&amp;E$1)/$B$103</f>
        <v>0</v>
      </c>
      <c r="F66" s="5">
        <f>COUNTIF(Réponses!$B65:$U65,"="&amp;F$1)/$B$103</f>
        <v>0</v>
      </c>
      <c r="G66" s="5">
        <f>COUNTIF(Réponses!$B65:$U65,"="&amp;G$1)/$B$103</f>
        <v>0</v>
      </c>
      <c r="H66" s="5">
        <f>COUNTIF(Réponses!$B65:$U65,"="&amp;H$1)/$B$103</f>
        <v>0</v>
      </c>
      <c r="I66" s="5">
        <f>COUNTIF(Réponses!$B65:$U65,"="&amp;I$1)/$B$103</f>
        <v>0</v>
      </c>
      <c r="J66" s="5">
        <f>COUNTIF(Réponses!$B65:$U65,"="&amp;J$1)/$B$103</f>
        <v>0</v>
      </c>
      <c r="K66" s="5">
        <f>COUNTIF(Réponses!$B65:$U65,"="&amp;K$1)/$B$103</f>
        <v>0</v>
      </c>
      <c r="L66" s="5">
        <f>COUNTIF(Réponses!$B65:$U65,"="&amp;L$1)/$B$103</f>
        <v>0</v>
      </c>
      <c r="M66" s="5">
        <f>COUNTIF(Réponses!$B65:$U65,"="&amp;M$1)/$B$103</f>
        <v>0</v>
      </c>
      <c r="N66" s="5">
        <f>COUNTIF(Réponses!$B65:$U65,"="&amp;N$1)/$B$103</f>
        <v>0</v>
      </c>
      <c r="O66" s="5">
        <f>COUNTIF(Réponses!$B65:$U65,"="&amp;O$1)/$B$103</f>
        <v>0</v>
      </c>
      <c r="P66" s="5">
        <f>COUNTIF(Réponses!$B65:$U65,"="&amp;P$1)/$B$103</f>
        <v>0</v>
      </c>
      <c r="Q66" s="5">
        <f>COUNTIF(Réponses!$B65:$U65,"="&amp;Q$1)/$B$103</f>
        <v>0</v>
      </c>
      <c r="R66" s="5">
        <f>COUNTIF(Réponses!$B65:$U65,"="&amp;R$1)/$B$103</f>
        <v>0</v>
      </c>
      <c r="S66" s="5">
        <f>COUNTIF(Réponses!$B65:$U65,"="&amp;S$1)/$B$103</f>
        <v>1</v>
      </c>
      <c r="T66" s="5">
        <f>COUNTIF(Réponses!$B65:$U65,"="&amp;T$1)/$B$103</f>
        <v>0</v>
      </c>
      <c r="U66" s="5">
        <f>COUNTIF(Réponses!$B65:$U65,"="&amp;U$1)/$B$103</f>
        <v>0</v>
      </c>
      <c r="V66" s="5">
        <f>COUNTIF(Réponses!$B65:$U65,"="&amp;V$1)/$B$103</f>
        <v>0</v>
      </c>
    </row>
    <row r="67" spans="1:22" x14ac:dyDescent="0.25">
      <c r="A67" s="1">
        <v>65</v>
      </c>
      <c r="B67" s="1">
        <f>INDEX(Cartes!$C$2:$C$101,MATCH($A67,Cartes!$A$2:$A$101,0))</f>
        <v>20</v>
      </c>
      <c r="C67" s="5">
        <f>COUNTIF(Réponses!$B66:$U66,"="&amp;C$1)/$B$103</f>
        <v>0</v>
      </c>
      <c r="D67" s="5">
        <f>COUNTIF(Réponses!$B66:$U66,"="&amp;D$1)/$B$103</f>
        <v>0</v>
      </c>
      <c r="E67" s="5">
        <f>COUNTIF(Réponses!$B66:$U66,"="&amp;E$1)/$B$103</f>
        <v>0</v>
      </c>
      <c r="F67" s="5">
        <f>COUNTIF(Réponses!$B66:$U66,"="&amp;F$1)/$B$103</f>
        <v>0</v>
      </c>
      <c r="G67" s="5">
        <f>COUNTIF(Réponses!$B66:$U66,"="&amp;G$1)/$B$103</f>
        <v>0</v>
      </c>
      <c r="H67" s="5">
        <f>COUNTIF(Réponses!$B66:$U66,"="&amp;H$1)/$B$103</f>
        <v>0</v>
      </c>
      <c r="I67" s="5">
        <f>COUNTIF(Réponses!$B66:$U66,"="&amp;I$1)/$B$103</f>
        <v>0</v>
      </c>
      <c r="J67" s="5">
        <f>COUNTIF(Réponses!$B66:$U66,"="&amp;J$1)/$B$103</f>
        <v>0</v>
      </c>
      <c r="K67" s="5">
        <f>COUNTIF(Réponses!$B66:$U66,"="&amp;K$1)/$B$103</f>
        <v>0</v>
      </c>
      <c r="L67" s="5">
        <f>COUNTIF(Réponses!$B66:$U66,"="&amp;L$1)/$B$103</f>
        <v>0</v>
      </c>
      <c r="M67" s="5">
        <f>COUNTIF(Réponses!$B66:$U66,"="&amp;M$1)/$B$103</f>
        <v>0</v>
      </c>
      <c r="N67" s="5">
        <f>COUNTIF(Réponses!$B66:$U66,"="&amp;N$1)/$B$103</f>
        <v>0</v>
      </c>
      <c r="O67" s="5">
        <f>COUNTIF(Réponses!$B66:$U66,"="&amp;O$1)/$B$103</f>
        <v>0</v>
      </c>
      <c r="P67" s="5">
        <f>COUNTIF(Réponses!$B66:$U66,"="&amp;P$1)/$B$103</f>
        <v>0</v>
      </c>
      <c r="Q67" s="5">
        <f>COUNTIF(Réponses!$B66:$U66,"="&amp;Q$1)/$B$103</f>
        <v>0</v>
      </c>
      <c r="R67" s="5">
        <f>COUNTIF(Réponses!$B66:$U66,"="&amp;R$1)/$B$103</f>
        <v>0</v>
      </c>
      <c r="S67" s="5">
        <f>COUNTIF(Réponses!$B66:$U66,"="&amp;S$1)/$B$103</f>
        <v>0</v>
      </c>
      <c r="T67" s="5">
        <f>COUNTIF(Réponses!$B66:$U66,"="&amp;T$1)/$B$103</f>
        <v>0</v>
      </c>
      <c r="U67" s="5">
        <f>COUNTIF(Réponses!$B66:$U66,"="&amp;U$1)/$B$103</f>
        <v>0</v>
      </c>
      <c r="V67" s="5">
        <f>COUNTIF(Réponses!$B66:$U66,"="&amp;V$1)/$B$103</f>
        <v>1</v>
      </c>
    </row>
    <row r="68" spans="1:22" x14ac:dyDescent="0.25">
      <c r="A68" s="1">
        <v>66</v>
      </c>
      <c r="B68" s="1">
        <f>INDEX(Cartes!$C$2:$C$101,MATCH($A68,Cartes!$A$2:$A$101,0))</f>
        <v>16</v>
      </c>
      <c r="C68" s="5">
        <f>COUNTIF(Réponses!$B67:$U67,"="&amp;C$1)/$B$103</f>
        <v>0</v>
      </c>
      <c r="D68" s="5">
        <f>COUNTIF(Réponses!$B67:$U67,"="&amp;D$1)/$B$103</f>
        <v>0</v>
      </c>
      <c r="E68" s="5">
        <f>COUNTIF(Réponses!$B67:$U67,"="&amp;E$1)/$B$103</f>
        <v>0</v>
      </c>
      <c r="F68" s="5">
        <f>COUNTIF(Réponses!$B67:$U67,"="&amp;F$1)/$B$103</f>
        <v>0</v>
      </c>
      <c r="G68" s="5">
        <f>COUNTIF(Réponses!$B67:$U67,"="&amp;G$1)/$B$103</f>
        <v>0</v>
      </c>
      <c r="H68" s="5">
        <f>COUNTIF(Réponses!$B67:$U67,"="&amp;H$1)/$B$103</f>
        <v>0</v>
      </c>
      <c r="I68" s="5">
        <f>COUNTIF(Réponses!$B67:$U67,"="&amp;I$1)/$B$103</f>
        <v>0</v>
      </c>
      <c r="J68" s="5">
        <f>COUNTIF(Réponses!$B67:$U67,"="&amp;J$1)/$B$103</f>
        <v>0</v>
      </c>
      <c r="K68" s="5">
        <f>COUNTIF(Réponses!$B67:$U67,"="&amp;K$1)/$B$103</f>
        <v>0</v>
      </c>
      <c r="L68" s="5">
        <f>COUNTIF(Réponses!$B67:$U67,"="&amp;L$1)/$B$103</f>
        <v>0</v>
      </c>
      <c r="M68" s="5">
        <f>COUNTIF(Réponses!$B67:$U67,"="&amp;M$1)/$B$103</f>
        <v>0</v>
      </c>
      <c r="N68" s="5">
        <f>COUNTIF(Réponses!$B67:$U67,"="&amp;N$1)/$B$103</f>
        <v>0</v>
      </c>
      <c r="O68" s="5">
        <f>COUNTIF(Réponses!$B67:$U67,"="&amp;O$1)/$B$103</f>
        <v>0</v>
      </c>
      <c r="P68" s="5">
        <f>COUNTIF(Réponses!$B67:$U67,"="&amp;P$1)/$B$103</f>
        <v>0</v>
      </c>
      <c r="Q68" s="5">
        <f>COUNTIF(Réponses!$B67:$U67,"="&amp;Q$1)/$B$103</f>
        <v>0</v>
      </c>
      <c r="R68" s="5">
        <f>COUNTIF(Réponses!$B67:$U67,"="&amp;R$1)/$B$103</f>
        <v>1</v>
      </c>
      <c r="S68" s="5">
        <f>COUNTIF(Réponses!$B67:$U67,"="&amp;S$1)/$B$103</f>
        <v>0</v>
      </c>
      <c r="T68" s="5">
        <f>COUNTIF(Réponses!$B67:$U67,"="&amp;T$1)/$B$103</f>
        <v>0</v>
      </c>
      <c r="U68" s="5">
        <f>COUNTIF(Réponses!$B67:$U67,"="&amp;U$1)/$B$103</f>
        <v>0</v>
      </c>
      <c r="V68" s="5">
        <f>COUNTIF(Réponses!$B67:$U67,"="&amp;V$1)/$B$103</f>
        <v>0</v>
      </c>
    </row>
    <row r="69" spans="1:22" x14ac:dyDescent="0.25">
      <c r="A69" s="1">
        <v>67</v>
      </c>
      <c r="B69" s="1">
        <f>INDEX(Cartes!$C$2:$C$101,MATCH($A69,Cartes!$A$2:$A$101,0))</f>
        <v>1</v>
      </c>
      <c r="C69" s="5">
        <f>COUNTIF(Réponses!$B68:$U68,"="&amp;C$1)/$B$103</f>
        <v>1</v>
      </c>
      <c r="D69" s="5">
        <f>COUNTIF(Réponses!$B68:$U68,"="&amp;D$1)/$B$103</f>
        <v>0</v>
      </c>
      <c r="E69" s="5">
        <f>COUNTIF(Réponses!$B68:$U68,"="&amp;E$1)/$B$103</f>
        <v>0</v>
      </c>
      <c r="F69" s="5">
        <f>COUNTIF(Réponses!$B68:$U68,"="&amp;F$1)/$B$103</f>
        <v>0</v>
      </c>
      <c r="G69" s="5">
        <f>COUNTIF(Réponses!$B68:$U68,"="&amp;G$1)/$B$103</f>
        <v>0</v>
      </c>
      <c r="H69" s="5">
        <f>COUNTIF(Réponses!$B68:$U68,"="&amp;H$1)/$B$103</f>
        <v>0</v>
      </c>
      <c r="I69" s="5">
        <f>COUNTIF(Réponses!$B68:$U68,"="&amp;I$1)/$B$103</f>
        <v>0</v>
      </c>
      <c r="J69" s="5">
        <f>COUNTIF(Réponses!$B68:$U68,"="&amp;J$1)/$B$103</f>
        <v>0</v>
      </c>
      <c r="K69" s="5">
        <f>COUNTIF(Réponses!$B68:$U68,"="&amp;K$1)/$B$103</f>
        <v>0</v>
      </c>
      <c r="L69" s="5">
        <f>COUNTIF(Réponses!$B68:$U68,"="&amp;L$1)/$B$103</f>
        <v>0</v>
      </c>
      <c r="M69" s="5">
        <f>COUNTIF(Réponses!$B68:$U68,"="&amp;M$1)/$B$103</f>
        <v>0</v>
      </c>
      <c r="N69" s="5">
        <f>COUNTIF(Réponses!$B68:$U68,"="&amp;N$1)/$B$103</f>
        <v>0</v>
      </c>
      <c r="O69" s="5">
        <f>COUNTIF(Réponses!$B68:$U68,"="&amp;O$1)/$B$103</f>
        <v>0</v>
      </c>
      <c r="P69" s="5">
        <f>COUNTIF(Réponses!$B68:$U68,"="&amp;P$1)/$B$103</f>
        <v>0</v>
      </c>
      <c r="Q69" s="5">
        <f>COUNTIF(Réponses!$B68:$U68,"="&amp;Q$1)/$B$103</f>
        <v>0</v>
      </c>
      <c r="R69" s="5">
        <f>COUNTIF(Réponses!$B68:$U68,"="&amp;R$1)/$B$103</f>
        <v>0</v>
      </c>
      <c r="S69" s="5">
        <f>COUNTIF(Réponses!$B68:$U68,"="&amp;S$1)/$B$103</f>
        <v>0</v>
      </c>
      <c r="T69" s="5">
        <f>COUNTIF(Réponses!$B68:$U68,"="&amp;T$1)/$B$103</f>
        <v>0</v>
      </c>
      <c r="U69" s="5">
        <f>COUNTIF(Réponses!$B68:$U68,"="&amp;U$1)/$B$103</f>
        <v>0</v>
      </c>
      <c r="V69" s="5">
        <f>COUNTIF(Réponses!$B68:$U68,"="&amp;V$1)/$B$103</f>
        <v>0</v>
      </c>
    </row>
    <row r="70" spans="1:22" x14ac:dyDescent="0.25">
      <c r="A70" s="1">
        <v>68</v>
      </c>
      <c r="B70" s="1">
        <f>INDEX(Cartes!$C$2:$C$101,MATCH($A70,Cartes!$A$2:$A$101,0))</f>
        <v>19</v>
      </c>
      <c r="C70" s="5">
        <f>COUNTIF(Réponses!$B69:$U69,"="&amp;C$1)/$B$103</f>
        <v>0</v>
      </c>
      <c r="D70" s="5">
        <f>COUNTIF(Réponses!$B69:$U69,"="&amp;D$1)/$B$103</f>
        <v>0</v>
      </c>
      <c r="E70" s="5">
        <f>COUNTIF(Réponses!$B69:$U69,"="&amp;E$1)/$B$103</f>
        <v>0</v>
      </c>
      <c r="F70" s="5">
        <f>COUNTIF(Réponses!$B69:$U69,"="&amp;F$1)/$B$103</f>
        <v>0</v>
      </c>
      <c r="G70" s="5">
        <f>COUNTIF(Réponses!$B69:$U69,"="&amp;G$1)/$B$103</f>
        <v>0</v>
      </c>
      <c r="H70" s="5">
        <f>COUNTIF(Réponses!$B69:$U69,"="&amp;H$1)/$B$103</f>
        <v>0</v>
      </c>
      <c r="I70" s="5">
        <f>COUNTIF(Réponses!$B69:$U69,"="&amp;I$1)/$B$103</f>
        <v>0</v>
      </c>
      <c r="J70" s="5">
        <f>COUNTIF(Réponses!$B69:$U69,"="&amp;J$1)/$B$103</f>
        <v>0</v>
      </c>
      <c r="K70" s="5">
        <f>COUNTIF(Réponses!$B69:$U69,"="&amp;K$1)/$B$103</f>
        <v>0</v>
      </c>
      <c r="L70" s="5">
        <f>COUNTIF(Réponses!$B69:$U69,"="&amp;L$1)/$B$103</f>
        <v>0</v>
      </c>
      <c r="M70" s="5">
        <f>COUNTIF(Réponses!$B69:$U69,"="&amp;M$1)/$B$103</f>
        <v>0</v>
      </c>
      <c r="N70" s="5">
        <f>COUNTIF(Réponses!$B69:$U69,"="&amp;N$1)/$B$103</f>
        <v>0</v>
      </c>
      <c r="O70" s="5">
        <f>COUNTIF(Réponses!$B69:$U69,"="&amp;O$1)/$B$103</f>
        <v>0</v>
      </c>
      <c r="P70" s="5">
        <f>COUNTIF(Réponses!$B69:$U69,"="&amp;P$1)/$B$103</f>
        <v>0</v>
      </c>
      <c r="Q70" s="5">
        <f>COUNTIF(Réponses!$B69:$U69,"="&amp;Q$1)/$B$103</f>
        <v>0</v>
      </c>
      <c r="R70" s="5">
        <f>COUNTIF(Réponses!$B69:$U69,"="&amp;R$1)/$B$103</f>
        <v>0</v>
      </c>
      <c r="S70" s="5">
        <f>COUNTIF(Réponses!$B69:$U69,"="&amp;S$1)/$B$103</f>
        <v>0</v>
      </c>
      <c r="T70" s="5">
        <f>COUNTIF(Réponses!$B69:$U69,"="&amp;T$1)/$B$103</f>
        <v>0</v>
      </c>
      <c r="U70" s="5">
        <f>COUNTIF(Réponses!$B69:$U69,"="&amp;U$1)/$B$103</f>
        <v>1</v>
      </c>
      <c r="V70" s="5">
        <f>COUNTIF(Réponses!$B69:$U69,"="&amp;V$1)/$B$103</f>
        <v>0</v>
      </c>
    </row>
    <row r="71" spans="1:22" x14ac:dyDescent="0.25">
      <c r="A71" s="1">
        <v>69</v>
      </c>
      <c r="B71" s="1">
        <f>INDEX(Cartes!$C$2:$C$101,MATCH($A71,Cartes!$A$2:$A$101,0))</f>
        <v>14</v>
      </c>
      <c r="C71" s="5">
        <f>COUNTIF(Réponses!$B70:$U70,"="&amp;C$1)/$B$103</f>
        <v>0</v>
      </c>
      <c r="D71" s="5">
        <f>COUNTIF(Réponses!$B70:$U70,"="&amp;D$1)/$B$103</f>
        <v>0</v>
      </c>
      <c r="E71" s="5">
        <f>COUNTIF(Réponses!$B70:$U70,"="&amp;E$1)/$B$103</f>
        <v>0.2</v>
      </c>
      <c r="F71" s="5">
        <f>COUNTIF(Réponses!$B70:$U70,"="&amp;F$1)/$B$103</f>
        <v>0</v>
      </c>
      <c r="G71" s="5">
        <f>COUNTIF(Réponses!$B70:$U70,"="&amp;G$1)/$B$103</f>
        <v>0</v>
      </c>
      <c r="H71" s="5">
        <f>COUNTIF(Réponses!$B70:$U70,"="&amp;H$1)/$B$103</f>
        <v>0</v>
      </c>
      <c r="I71" s="5">
        <f>COUNTIF(Réponses!$B70:$U70,"="&amp;I$1)/$B$103</f>
        <v>0</v>
      </c>
      <c r="J71" s="5">
        <f>COUNTIF(Réponses!$B70:$U70,"="&amp;J$1)/$B$103</f>
        <v>0</v>
      </c>
      <c r="K71" s="5">
        <f>COUNTIF(Réponses!$B70:$U70,"="&amp;K$1)/$B$103</f>
        <v>0</v>
      </c>
      <c r="L71" s="5">
        <f>COUNTIF(Réponses!$B70:$U70,"="&amp;L$1)/$B$103</f>
        <v>0</v>
      </c>
      <c r="M71" s="5">
        <f>COUNTIF(Réponses!$B70:$U70,"="&amp;M$1)/$B$103</f>
        <v>0</v>
      </c>
      <c r="N71" s="5">
        <f>COUNTIF(Réponses!$B70:$U70,"="&amp;N$1)/$B$103</f>
        <v>0</v>
      </c>
      <c r="O71" s="5">
        <f>COUNTIF(Réponses!$B70:$U70,"="&amp;O$1)/$B$103</f>
        <v>0</v>
      </c>
      <c r="P71" s="5">
        <f>COUNTIF(Réponses!$B70:$U70,"="&amp;P$1)/$B$103</f>
        <v>0.8</v>
      </c>
      <c r="Q71" s="5">
        <f>COUNTIF(Réponses!$B70:$U70,"="&amp;Q$1)/$B$103</f>
        <v>0</v>
      </c>
      <c r="R71" s="5">
        <f>COUNTIF(Réponses!$B70:$U70,"="&amp;R$1)/$B$103</f>
        <v>0</v>
      </c>
      <c r="S71" s="5">
        <f>COUNTIF(Réponses!$B70:$U70,"="&amp;S$1)/$B$103</f>
        <v>0</v>
      </c>
      <c r="T71" s="5">
        <f>COUNTIF(Réponses!$B70:$U70,"="&amp;T$1)/$B$103</f>
        <v>0</v>
      </c>
      <c r="U71" s="5">
        <f>COUNTIF(Réponses!$B70:$U70,"="&amp;U$1)/$B$103</f>
        <v>0</v>
      </c>
      <c r="V71" s="5">
        <f>COUNTIF(Réponses!$B70:$U70,"="&amp;V$1)/$B$103</f>
        <v>0</v>
      </c>
    </row>
    <row r="72" spans="1:22" x14ac:dyDescent="0.25">
      <c r="A72" s="1">
        <v>70</v>
      </c>
      <c r="B72" s="1">
        <f>INDEX(Cartes!$C$2:$C$101,MATCH($A72,Cartes!$A$2:$A$101,0))</f>
        <v>2</v>
      </c>
      <c r="C72" s="5">
        <f>COUNTIF(Réponses!$B71:$U71,"="&amp;C$1)/$B$103</f>
        <v>0</v>
      </c>
      <c r="D72" s="5">
        <f>COUNTIF(Réponses!$B71:$U71,"="&amp;D$1)/$B$103</f>
        <v>1</v>
      </c>
      <c r="E72" s="5">
        <f>COUNTIF(Réponses!$B71:$U71,"="&amp;E$1)/$B$103</f>
        <v>0</v>
      </c>
      <c r="F72" s="5">
        <f>COUNTIF(Réponses!$B71:$U71,"="&amp;F$1)/$B$103</f>
        <v>0</v>
      </c>
      <c r="G72" s="5">
        <f>COUNTIF(Réponses!$B71:$U71,"="&amp;G$1)/$B$103</f>
        <v>0</v>
      </c>
      <c r="H72" s="5">
        <f>COUNTIF(Réponses!$B71:$U71,"="&amp;H$1)/$B$103</f>
        <v>0</v>
      </c>
      <c r="I72" s="5">
        <f>COUNTIF(Réponses!$B71:$U71,"="&amp;I$1)/$B$103</f>
        <v>0</v>
      </c>
      <c r="J72" s="5">
        <f>COUNTIF(Réponses!$B71:$U71,"="&amp;J$1)/$B$103</f>
        <v>0</v>
      </c>
      <c r="K72" s="5">
        <f>COUNTIF(Réponses!$B71:$U71,"="&amp;K$1)/$B$103</f>
        <v>0</v>
      </c>
      <c r="L72" s="5">
        <f>COUNTIF(Réponses!$B71:$U71,"="&amp;L$1)/$B$103</f>
        <v>0</v>
      </c>
      <c r="M72" s="5">
        <f>COUNTIF(Réponses!$B71:$U71,"="&amp;M$1)/$B$103</f>
        <v>0</v>
      </c>
      <c r="N72" s="5">
        <f>COUNTIF(Réponses!$B71:$U71,"="&amp;N$1)/$B$103</f>
        <v>0</v>
      </c>
      <c r="O72" s="5">
        <f>COUNTIF(Réponses!$B71:$U71,"="&amp;O$1)/$B$103</f>
        <v>0</v>
      </c>
      <c r="P72" s="5">
        <f>COUNTIF(Réponses!$B71:$U71,"="&amp;P$1)/$B$103</f>
        <v>0</v>
      </c>
      <c r="Q72" s="5">
        <f>COUNTIF(Réponses!$B71:$U71,"="&amp;Q$1)/$B$103</f>
        <v>0</v>
      </c>
      <c r="R72" s="5">
        <f>COUNTIF(Réponses!$B71:$U71,"="&amp;R$1)/$B$103</f>
        <v>0</v>
      </c>
      <c r="S72" s="5">
        <f>COUNTIF(Réponses!$B71:$U71,"="&amp;S$1)/$B$103</f>
        <v>0</v>
      </c>
      <c r="T72" s="5">
        <f>COUNTIF(Réponses!$B71:$U71,"="&amp;T$1)/$B$103</f>
        <v>0</v>
      </c>
      <c r="U72" s="5">
        <f>COUNTIF(Réponses!$B71:$U71,"="&amp;U$1)/$B$103</f>
        <v>0</v>
      </c>
      <c r="V72" s="5">
        <f>COUNTIF(Réponses!$B71:$U71,"="&amp;V$1)/$B$103</f>
        <v>0</v>
      </c>
    </row>
    <row r="73" spans="1:22" x14ac:dyDescent="0.25">
      <c r="A73" s="1">
        <v>71</v>
      </c>
      <c r="B73" s="1">
        <f>INDEX(Cartes!$C$2:$C$101,MATCH($A73,Cartes!$A$2:$A$101,0))</f>
        <v>2</v>
      </c>
      <c r="C73" s="5">
        <f>COUNTIF(Réponses!$B72:$U72,"="&amp;C$1)/$B$103</f>
        <v>0</v>
      </c>
      <c r="D73" s="5">
        <f>COUNTIF(Réponses!$B72:$U72,"="&amp;D$1)/$B$103</f>
        <v>1</v>
      </c>
      <c r="E73" s="5">
        <f>COUNTIF(Réponses!$B72:$U72,"="&amp;E$1)/$B$103</f>
        <v>0</v>
      </c>
      <c r="F73" s="5">
        <f>COUNTIF(Réponses!$B72:$U72,"="&amp;F$1)/$B$103</f>
        <v>0</v>
      </c>
      <c r="G73" s="5">
        <f>COUNTIF(Réponses!$B72:$U72,"="&amp;G$1)/$B$103</f>
        <v>0</v>
      </c>
      <c r="H73" s="5">
        <f>COUNTIF(Réponses!$B72:$U72,"="&amp;H$1)/$B$103</f>
        <v>0</v>
      </c>
      <c r="I73" s="5">
        <f>COUNTIF(Réponses!$B72:$U72,"="&amp;I$1)/$B$103</f>
        <v>0</v>
      </c>
      <c r="J73" s="5">
        <f>COUNTIF(Réponses!$B72:$U72,"="&amp;J$1)/$B$103</f>
        <v>0</v>
      </c>
      <c r="K73" s="5">
        <f>COUNTIF(Réponses!$B72:$U72,"="&amp;K$1)/$B$103</f>
        <v>0</v>
      </c>
      <c r="L73" s="5">
        <f>COUNTIF(Réponses!$B72:$U72,"="&amp;L$1)/$B$103</f>
        <v>0</v>
      </c>
      <c r="M73" s="5">
        <f>COUNTIF(Réponses!$B72:$U72,"="&amp;M$1)/$B$103</f>
        <v>0</v>
      </c>
      <c r="N73" s="5">
        <f>COUNTIF(Réponses!$B72:$U72,"="&amp;N$1)/$B$103</f>
        <v>0</v>
      </c>
      <c r="O73" s="5">
        <f>COUNTIF(Réponses!$B72:$U72,"="&amp;O$1)/$B$103</f>
        <v>0</v>
      </c>
      <c r="P73" s="5">
        <f>COUNTIF(Réponses!$B72:$U72,"="&amp;P$1)/$B$103</f>
        <v>0</v>
      </c>
      <c r="Q73" s="5">
        <f>COUNTIF(Réponses!$B72:$U72,"="&amp;Q$1)/$B$103</f>
        <v>0</v>
      </c>
      <c r="R73" s="5">
        <f>COUNTIF(Réponses!$B72:$U72,"="&amp;R$1)/$B$103</f>
        <v>0</v>
      </c>
      <c r="S73" s="5">
        <f>COUNTIF(Réponses!$B72:$U72,"="&amp;S$1)/$B$103</f>
        <v>0</v>
      </c>
      <c r="T73" s="5">
        <f>COUNTIF(Réponses!$B72:$U72,"="&amp;T$1)/$B$103</f>
        <v>0</v>
      </c>
      <c r="U73" s="5">
        <f>COUNTIF(Réponses!$B72:$U72,"="&amp;U$1)/$B$103</f>
        <v>0</v>
      </c>
      <c r="V73" s="5">
        <f>COUNTIF(Réponses!$B72:$U72,"="&amp;V$1)/$B$103</f>
        <v>0</v>
      </c>
    </row>
    <row r="74" spans="1:22" x14ac:dyDescent="0.25">
      <c r="A74" s="1">
        <v>72</v>
      </c>
      <c r="B74" s="1">
        <f>INDEX(Cartes!$C$2:$C$101,MATCH($A74,Cartes!$A$2:$A$101,0))</f>
        <v>3</v>
      </c>
      <c r="C74" s="5">
        <f>COUNTIF(Réponses!$B73:$U73,"="&amp;C$1)/$B$103</f>
        <v>0</v>
      </c>
      <c r="D74" s="5">
        <f>COUNTIF(Réponses!$B73:$U73,"="&amp;D$1)/$B$103</f>
        <v>0</v>
      </c>
      <c r="E74" s="5">
        <f>COUNTIF(Réponses!$B73:$U73,"="&amp;E$1)/$B$103</f>
        <v>1</v>
      </c>
      <c r="F74" s="5">
        <f>COUNTIF(Réponses!$B73:$U73,"="&amp;F$1)/$B$103</f>
        <v>0</v>
      </c>
      <c r="G74" s="5">
        <f>COUNTIF(Réponses!$B73:$U73,"="&amp;G$1)/$B$103</f>
        <v>0</v>
      </c>
      <c r="H74" s="5">
        <f>COUNTIF(Réponses!$B73:$U73,"="&amp;H$1)/$B$103</f>
        <v>0</v>
      </c>
      <c r="I74" s="5">
        <f>COUNTIF(Réponses!$B73:$U73,"="&amp;I$1)/$B$103</f>
        <v>0</v>
      </c>
      <c r="J74" s="5">
        <f>COUNTIF(Réponses!$B73:$U73,"="&amp;J$1)/$B$103</f>
        <v>0</v>
      </c>
      <c r="K74" s="5">
        <f>COUNTIF(Réponses!$B73:$U73,"="&amp;K$1)/$B$103</f>
        <v>0</v>
      </c>
      <c r="L74" s="5">
        <f>COUNTIF(Réponses!$B73:$U73,"="&amp;L$1)/$B$103</f>
        <v>0</v>
      </c>
      <c r="M74" s="5">
        <f>COUNTIF(Réponses!$B73:$U73,"="&amp;M$1)/$B$103</f>
        <v>0</v>
      </c>
      <c r="N74" s="5">
        <f>COUNTIF(Réponses!$B73:$U73,"="&amp;N$1)/$B$103</f>
        <v>0</v>
      </c>
      <c r="O74" s="5">
        <f>COUNTIF(Réponses!$B73:$U73,"="&amp;O$1)/$B$103</f>
        <v>0</v>
      </c>
      <c r="P74" s="5">
        <f>COUNTIF(Réponses!$B73:$U73,"="&amp;P$1)/$B$103</f>
        <v>0</v>
      </c>
      <c r="Q74" s="5">
        <f>COUNTIF(Réponses!$B73:$U73,"="&amp;Q$1)/$B$103</f>
        <v>0</v>
      </c>
      <c r="R74" s="5">
        <f>COUNTIF(Réponses!$B73:$U73,"="&amp;R$1)/$B$103</f>
        <v>0</v>
      </c>
      <c r="S74" s="5">
        <f>COUNTIF(Réponses!$B73:$U73,"="&amp;S$1)/$B$103</f>
        <v>0</v>
      </c>
      <c r="T74" s="5">
        <f>COUNTIF(Réponses!$B73:$U73,"="&amp;T$1)/$B$103</f>
        <v>0</v>
      </c>
      <c r="U74" s="5">
        <f>COUNTIF(Réponses!$B73:$U73,"="&amp;U$1)/$B$103</f>
        <v>0</v>
      </c>
      <c r="V74" s="5">
        <f>COUNTIF(Réponses!$B73:$U73,"="&amp;V$1)/$B$103</f>
        <v>0</v>
      </c>
    </row>
    <row r="75" spans="1:22" x14ac:dyDescent="0.25">
      <c r="A75" s="1">
        <v>73</v>
      </c>
      <c r="B75" s="1">
        <f>INDEX(Cartes!$C$2:$C$101,MATCH($A75,Cartes!$A$2:$A$101,0))</f>
        <v>12</v>
      </c>
      <c r="C75" s="5">
        <f>COUNTIF(Réponses!$B74:$U74,"="&amp;C$1)/$B$103</f>
        <v>0</v>
      </c>
      <c r="D75" s="5">
        <f>COUNTIF(Réponses!$B74:$U74,"="&amp;D$1)/$B$103</f>
        <v>0</v>
      </c>
      <c r="E75" s="5">
        <f>COUNTIF(Réponses!$B74:$U74,"="&amp;E$1)/$B$103</f>
        <v>0</v>
      </c>
      <c r="F75" s="5">
        <f>COUNTIF(Réponses!$B74:$U74,"="&amp;F$1)/$B$103</f>
        <v>0</v>
      </c>
      <c r="G75" s="5">
        <f>COUNTIF(Réponses!$B74:$U74,"="&amp;G$1)/$B$103</f>
        <v>0</v>
      </c>
      <c r="H75" s="5">
        <f>COUNTIF(Réponses!$B74:$U74,"="&amp;H$1)/$B$103</f>
        <v>0</v>
      </c>
      <c r="I75" s="5">
        <f>COUNTIF(Réponses!$B74:$U74,"="&amp;I$1)/$B$103</f>
        <v>0</v>
      </c>
      <c r="J75" s="5">
        <f>COUNTIF(Réponses!$B74:$U74,"="&amp;J$1)/$B$103</f>
        <v>0</v>
      </c>
      <c r="K75" s="5">
        <f>COUNTIF(Réponses!$B74:$U74,"="&amp;K$1)/$B$103</f>
        <v>0</v>
      </c>
      <c r="L75" s="5">
        <f>COUNTIF(Réponses!$B74:$U74,"="&amp;L$1)/$B$103</f>
        <v>0</v>
      </c>
      <c r="M75" s="5">
        <f>COUNTIF(Réponses!$B74:$U74,"="&amp;M$1)/$B$103</f>
        <v>0</v>
      </c>
      <c r="N75" s="5">
        <f>COUNTIF(Réponses!$B74:$U74,"="&amp;N$1)/$B$103</f>
        <v>1</v>
      </c>
      <c r="O75" s="5">
        <f>COUNTIF(Réponses!$B74:$U74,"="&amp;O$1)/$B$103</f>
        <v>0</v>
      </c>
      <c r="P75" s="5">
        <f>COUNTIF(Réponses!$B74:$U74,"="&amp;P$1)/$B$103</f>
        <v>0</v>
      </c>
      <c r="Q75" s="5">
        <f>COUNTIF(Réponses!$B74:$U74,"="&amp;Q$1)/$B$103</f>
        <v>0</v>
      </c>
      <c r="R75" s="5">
        <f>COUNTIF(Réponses!$B74:$U74,"="&amp;R$1)/$B$103</f>
        <v>0</v>
      </c>
      <c r="S75" s="5">
        <f>COUNTIF(Réponses!$B74:$U74,"="&amp;S$1)/$B$103</f>
        <v>0</v>
      </c>
      <c r="T75" s="5">
        <f>COUNTIF(Réponses!$B74:$U74,"="&amp;T$1)/$B$103</f>
        <v>0</v>
      </c>
      <c r="U75" s="5">
        <f>COUNTIF(Réponses!$B74:$U74,"="&amp;U$1)/$B$103</f>
        <v>0</v>
      </c>
      <c r="V75" s="5">
        <f>COUNTIF(Réponses!$B74:$U74,"="&amp;V$1)/$B$103</f>
        <v>0</v>
      </c>
    </row>
    <row r="76" spans="1:22" x14ac:dyDescent="0.25">
      <c r="A76" s="1">
        <v>74</v>
      </c>
      <c r="B76" s="1">
        <f>INDEX(Cartes!$C$2:$C$101,MATCH($A76,Cartes!$A$2:$A$101,0))</f>
        <v>10</v>
      </c>
      <c r="C76" s="5">
        <f>COUNTIF(Réponses!$B75:$U75,"="&amp;C$1)/$B$103</f>
        <v>0</v>
      </c>
      <c r="D76" s="5">
        <f>COUNTIF(Réponses!$B75:$U75,"="&amp;D$1)/$B$103</f>
        <v>0</v>
      </c>
      <c r="E76" s="5">
        <f>COUNTIF(Réponses!$B75:$U75,"="&amp;E$1)/$B$103</f>
        <v>0</v>
      </c>
      <c r="F76" s="5">
        <f>COUNTIF(Réponses!$B75:$U75,"="&amp;F$1)/$B$103</f>
        <v>0</v>
      </c>
      <c r="G76" s="5">
        <f>COUNTIF(Réponses!$B75:$U75,"="&amp;G$1)/$B$103</f>
        <v>0</v>
      </c>
      <c r="H76" s="5">
        <f>COUNTIF(Réponses!$B75:$U75,"="&amp;H$1)/$B$103</f>
        <v>0</v>
      </c>
      <c r="I76" s="5">
        <f>COUNTIF(Réponses!$B75:$U75,"="&amp;I$1)/$B$103</f>
        <v>0</v>
      </c>
      <c r="J76" s="5">
        <f>COUNTIF(Réponses!$B75:$U75,"="&amp;J$1)/$B$103</f>
        <v>0</v>
      </c>
      <c r="K76" s="5">
        <f>COUNTIF(Réponses!$B75:$U75,"="&amp;K$1)/$B$103</f>
        <v>0</v>
      </c>
      <c r="L76" s="5">
        <f>COUNTIF(Réponses!$B75:$U75,"="&amp;L$1)/$B$103</f>
        <v>1</v>
      </c>
      <c r="M76" s="5">
        <f>COUNTIF(Réponses!$B75:$U75,"="&amp;M$1)/$B$103</f>
        <v>0</v>
      </c>
      <c r="N76" s="5">
        <f>COUNTIF(Réponses!$B75:$U75,"="&amp;N$1)/$B$103</f>
        <v>0</v>
      </c>
      <c r="O76" s="5">
        <f>COUNTIF(Réponses!$B75:$U75,"="&amp;O$1)/$B$103</f>
        <v>0</v>
      </c>
      <c r="P76" s="5">
        <f>COUNTIF(Réponses!$B75:$U75,"="&amp;P$1)/$B$103</f>
        <v>0</v>
      </c>
      <c r="Q76" s="5">
        <f>COUNTIF(Réponses!$B75:$U75,"="&amp;Q$1)/$B$103</f>
        <v>0</v>
      </c>
      <c r="R76" s="5">
        <f>COUNTIF(Réponses!$B75:$U75,"="&amp;R$1)/$B$103</f>
        <v>0</v>
      </c>
      <c r="S76" s="5">
        <f>COUNTIF(Réponses!$B75:$U75,"="&amp;S$1)/$B$103</f>
        <v>0</v>
      </c>
      <c r="T76" s="5">
        <f>COUNTIF(Réponses!$B75:$U75,"="&amp;T$1)/$B$103</f>
        <v>0</v>
      </c>
      <c r="U76" s="5">
        <f>COUNTIF(Réponses!$B75:$U75,"="&amp;U$1)/$B$103</f>
        <v>0</v>
      </c>
      <c r="V76" s="5">
        <f>COUNTIF(Réponses!$B75:$U75,"="&amp;V$1)/$B$103</f>
        <v>0</v>
      </c>
    </row>
    <row r="77" spans="1:22" x14ac:dyDescent="0.25">
      <c r="A77" s="1">
        <v>75</v>
      </c>
      <c r="B77" s="1">
        <f>INDEX(Cartes!$C$2:$C$101,MATCH($A77,Cartes!$A$2:$A$101,0))</f>
        <v>19</v>
      </c>
      <c r="C77" s="5">
        <f>COUNTIF(Réponses!$B76:$U76,"="&amp;C$1)/$B$103</f>
        <v>0</v>
      </c>
      <c r="D77" s="5">
        <f>COUNTIF(Réponses!$B76:$U76,"="&amp;D$1)/$B$103</f>
        <v>0</v>
      </c>
      <c r="E77" s="5">
        <f>COUNTIF(Réponses!$B76:$U76,"="&amp;E$1)/$B$103</f>
        <v>0</v>
      </c>
      <c r="F77" s="5">
        <f>COUNTIF(Réponses!$B76:$U76,"="&amp;F$1)/$B$103</f>
        <v>0</v>
      </c>
      <c r="G77" s="5">
        <f>COUNTIF(Réponses!$B76:$U76,"="&amp;G$1)/$B$103</f>
        <v>0</v>
      </c>
      <c r="H77" s="5">
        <f>COUNTIF(Réponses!$B76:$U76,"="&amp;H$1)/$B$103</f>
        <v>0</v>
      </c>
      <c r="I77" s="5">
        <f>COUNTIF(Réponses!$B76:$U76,"="&amp;I$1)/$B$103</f>
        <v>0</v>
      </c>
      <c r="J77" s="5">
        <f>COUNTIF(Réponses!$B76:$U76,"="&amp;J$1)/$B$103</f>
        <v>0</v>
      </c>
      <c r="K77" s="5">
        <f>COUNTIF(Réponses!$B76:$U76,"="&amp;K$1)/$B$103</f>
        <v>0</v>
      </c>
      <c r="L77" s="5">
        <f>COUNTIF(Réponses!$B76:$U76,"="&amp;L$1)/$B$103</f>
        <v>0</v>
      </c>
      <c r="M77" s="5">
        <f>COUNTIF(Réponses!$B76:$U76,"="&amp;M$1)/$B$103</f>
        <v>0</v>
      </c>
      <c r="N77" s="5">
        <f>COUNTIF(Réponses!$B76:$U76,"="&amp;N$1)/$B$103</f>
        <v>0</v>
      </c>
      <c r="O77" s="5">
        <f>COUNTIF(Réponses!$B76:$U76,"="&amp;O$1)/$B$103</f>
        <v>0</v>
      </c>
      <c r="P77" s="5">
        <f>COUNTIF(Réponses!$B76:$U76,"="&amp;P$1)/$B$103</f>
        <v>0</v>
      </c>
      <c r="Q77" s="5">
        <f>COUNTIF(Réponses!$B76:$U76,"="&amp;Q$1)/$B$103</f>
        <v>0</v>
      </c>
      <c r="R77" s="5">
        <f>COUNTIF(Réponses!$B76:$U76,"="&amp;R$1)/$B$103</f>
        <v>0</v>
      </c>
      <c r="S77" s="5">
        <f>COUNTIF(Réponses!$B76:$U76,"="&amp;S$1)/$B$103</f>
        <v>0</v>
      </c>
      <c r="T77" s="5">
        <f>COUNTIF(Réponses!$B76:$U76,"="&amp;T$1)/$B$103</f>
        <v>0</v>
      </c>
      <c r="U77" s="5">
        <f>COUNTIF(Réponses!$B76:$U76,"="&amp;U$1)/$B$103</f>
        <v>1</v>
      </c>
      <c r="V77" s="5">
        <f>COUNTIF(Réponses!$B76:$U76,"="&amp;V$1)/$B$103</f>
        <v>0</v>
      </c>
    </row>
    <row r="78" spans="1:22" x14ac:dyDescent="0.25">
      <c r="A78" s="1">
        <v>76</v>
      </c>
      <c r="B78" s="1">
        <f>INDEX(Cartes!$C$2:$C$101,MATCH($A78,Cartes!$A$2:$A$101,0))</f>
        <v>12</v>
      </c>
      <c r="C78" s="5">
        <f>COUNTIF(Réponses!$B77:$U77,"="&amp;C$1)/$B$103</f>
        <v>0</v>
      </c>
      <c r="D78" s="5">
        <f>COUNTIF(Réponses!$B77:$U77,"="&amp;D$1)/$B$103</f>
        <v>0</v>
      </c>
      <c r="E78" s="5">
        <f>COUNTIF(Réponses!$B77:$U77,"="&amp;E$1)/$B$103</f>
        <v>0</v>
      </c>
      <c r="F78" s="5">
        <f>COUNTIF(Réponses!$B77:$U77,"="&amp;F$1)/$B$103</f>
        <v>0</v>
      </c>
      <c r="G78" s="5">
        <f>COUNTIF(Réponses!$B77:$U77,"="&amp;G$1)/$B$103</f>
        <v>0</v>
      </c>
      <c r="H78" s="5">
        <f>COUNTIF(Réponses!$B77:$U77,"="&amp;H$1)/$B$103</f>
        <v>0</v>
      </c>
      <c r="I78" s="5">
        <f>COUNTIF(Réponses!$B77:$U77,"="&amp;I$1)/$B$103</f>
        <v>0</v>
      </c>
      <c r="J78" s="5">
        <f>COUNTIF(Réponses!$B77:$U77,"="&amp;J$1)/$B$103</f>
        <v>0</v>
      </c>
      <c r="K78" s="5">
        <f>COUNTIF(Réponses!$B77:$U77,"="&amp;K$1)/$B$103</f>
        <v>0</v>
      </c>
      <c r="L78" s="5">
        <f>COUNTIF(Réponses!$B77:$U77,"="&amp;L$1)/$B$103</f>
        <v>0</v>
      </c>
      <c r="M78" s="5">
        <f>COUNTIF(Réponses!$B77:$U77,"="&amp;M$1)/$B$103</f>
        <v>0</v>
      </c>
      <c r="N78" s="5">
        <f>COUNTIF(Réponses!$B77:$U77,"="&amp;N$1)/$B$103</f>
        <v>1</v>
      </c>
      <c r="O78" s="5">
        <f>COUNTIF(Réponses!$B77:$U77,"="&amp;O$1)/$B$103</f>
        <v>0</v>
      </c>
      <c r="P78" s="5">
        <f>COUNTIF(Réponses!$B77:$U77,"="&amp;P$1)/$B$103</f>
        <v>0</v>
      </c>
      <c r="Q78" s="5">
        <f>COUNTIF(Réponses!$B77:$U77,"="&amp;Q$1)/$B$103</f>
        <v>0</v>
      </c>
      <c r="R78" s="5">
        <f>COUNTIF(Réponses!$B77:$U77,"="&amp;R$1)/$B$103</f>
        <v>0</v>
      </c>
      <c r="S78" s="5">
        <f>COUNTIF(Réponses!$B77:$U77,"="&amp;S$1)/$B$103</f>
        <v>0</v>
      </c>
      <c r="T78" s="5">
        <f>COUNTIF(Réponses!$B77:$U77,"="&amp;T$1)/$B$103</f>
        <v>0</v>
      </c>
      <c r="U78" s="5">
        <f>COUNTIF(Réponses!$B77:$U77,"="&amp;U$1)/$B$103</f>
        <v>0</v>
      </c>
      <c r="V78" s="5">
        <f>COUNTIF(Réponses!$B77:$U77,"="&amp;V$1)/$B$103</f>
        <v>0</v>
      </c>
    </row>
    <row r="79" spans="1:22" x14ac:dyDescent="0.25">
      <c r="A79" s="1">
        <v>77</v>
      </c>
      <c r="B79" s="1">
        <f>INDEX(Cartes!$C$2:$C$101,MATCH($A79,Cartes!$A$2:$A$101,0))</f>
        <v>8</v>
      </c>
      <c r="C79" s="5">
        <f>COUNTIF(Réponses!$B78:$U78,"="&amp;C$1)/$B$103</f>
        <v>0</v>
      </c>
      <c r="D79" s="5">
        <f>COUNTIF(Réponses!$B78:$U78,"="&amp;D$1)/$B$103</f>
        <v>0</v>
      </c>
      <c r="E79" s="5">
        <f>COUNTIF(Réponses!$B78:$U78,"="&amp;E$1)/$B$103</f>
        <v>0</v>
      </c>
      <c r="F79" s="5">
        <f>COUNTIF(Réponses!$B78:$U78,"="&amp;F$1)/$B$103</f>
        <v>0</v>
      </c>
      <c r="G79" s="5">
        <f>COUNTIF(Réponses!$B78:$U78,"="&amp;G$1)/$B$103</f>
        <v>0</v>
      </c>
      <c r="H79" s="5">
        <f>COUNTIF(Réponses!$B78:$U78,"="&amp;H$1)/$B$103</f>
        <v>0</v>
      </c>
      <c r="I79" s="5">
        <f>COUNTIF(Réponses!$B78:$U78,"="&amp;I$1)/$B$103</f>
        <v>0</v>
      </c>
      <c r="J79" s="5">
        <f>COUNTIF(Réponses!$B78:$U78,"="&amp;J$1)/$B$103</f>
        <v>1</v>
      </c>
      <c r="K79" s="5">
        <f>COUNTIF(Réponses!$B78:$U78,"="&amp;K$1)/$B$103</f>
        <v>0</v>
      </c>
      <c r="L79" s="5">
        <f>COUNTIF(Réponses!$B78:$U78,"="&amp;L$1)/$B$103</f>
        <v>0</v>
      </c>
      <c r="M79" s="5">
        <f>COUNTIF(Réponses!$B78:$U78,"="&amp;M$1)/$B$103</f>
        <v>0</v>
      </c>
      <c r="N79" s="5">
        <f>COUNTIF(Réponses!$B78:$U78,"="&amp;N$1)/$B$103</f>
        <v>0</v>
      </c>
      <c r="O79" s="5">
        <f>COUNTIF(Réponses!$B78:$U78,"="&amp;O$1)/$B$103</f>
        <v>0</v>
      </c>
      <c r="P79" s="5">
        <f>COUNTIF(Réponses!$B78:$U78,"="&amp;P$1)/$B$103</f>
        <v>0</v>
      </c>
      <c r="Q79" s="5">
        <f>COUNTIF(Réponses!$B78:$U78,"="&amp;Q$1)/$B$103</f>
        <v>0</v>
      </c>
      <c r="R79" s="5">
        <f>COUNTIF(Réponses!$B78:$U78,"="&amp;R$1)/$B$103</f>
        <v>0</v>
      </c>
      <c r="S79" s="5">
        <f>COUNTIF(Réponses!$B78:$U78,"="&amp;S$1)/$B$103</f>
        <v>0</v>
      </c>
      <c r="T79" s="5">
        <f>COUNTIF(Réponses!$B78:$U78,"="&amp;T$1)/$B$103</f>
        <v>0</v>
      </c>
      <c r="U79" s="5">
        <f>COUNTIF(Réponses!$B78:$U78,"="&amp;U$1)/$B$103</f>
        <v>0</v>
      </c>
      <c r="V79" s="5">
        <f>COUNTIF(Réponses!$B78:$U78,"="&amp;V$1)/$B$103</f>
        <v>0</v>
      </c>
    </row>
    <row r="80" spans="1:22" x14ac:dyDescent="0.25">
      <c r="A80" s="1">
        <v>78</v>
      </c>
      <c r="B80" s="1">
        <f>INDEX(Cartes!$C$2:$C$101,MATCH($A80,Cartes!$A$2:$A$101,0))</f>
        <v>8</v>
      </c>
      <c r="C80" s="5">
        <f>COUNTIF(Réponses!$B79:$U79,"="&amp;C$1)/$B$103</f>
        <v>0</v>
      </c>
      <c r="D80" s="5">
        <f>COUNTIF(Réponses!$B79:$U79,"="&amp;D$1)/$B$103</f>
        <v>0</v>
      </c>
      <c r="E80" s="5">
        <f>COUNTIF(Réponses!$B79:$U79,"="&amp;E$1)/$B$103</f>
        <v>0</v>
      </c>
      <c r="F80" s="5">
        <f>COUNTIF(Réponses!$B79:$U79,"="&amp;F$1)/$B$103</f>
        <v>0</v>
      </c>
      <c r="G80" s="5">
        <f>COUNTIF(Réponses!$B79:$U79,"="&amp;G$1)/$B$103</f>
        <v>0</v>
      </c>
      <c r="H80" s="5">
        <f>COUNTIF(Réponses!$B79:$U79,"="&amp;H$1)/$B$103</f>
        <v>0</v>
      </c>
      <c r="I80" s="5">
        <f>COUNTIF(Réponses!$B79:$U79,"="&amp;I$1)/$B$103</f>
        <v>0</v>
      </c>
      <c r="J80" s="5">
        <f>COUNTIF(Réponses!$B79:$U79,"="&amp;J$1)/$B$103</f>
        <v>1</v>
      </c>
      <c r="K80" s="5">
        <f>COUNTIF(Réponses!$B79:$U79,"="&amp;K$1)/$B$103</f>
        <v>0</v>
      </c>
      <c r="L80" s="5">
        <f>COUNTIF(Réponses!$B79:$U79,"="&amp;L$1)/$B$103</f>
        <v>0</v>
      </c>
      <c r="M80" s="5">
        <f>COUNTIF(Réponses!$B79:$U79,"="&amp;M$1)/$B$103</f>
        <v>0</v>
      </c>
      <c r="N80" s="5">
        <f>COUNTIF(Réponses!$B79:$U79,"="&amp;N$1)/$B$103</f>
        <v>0</v>
      </c>
      <c r="O80" s="5">
        <f>COUNTIF(Réponses!$B79:$U79,"="&amp;O$1)/$B$103</f>
        <v>0</v>
      </c>
      <c r="P80" s="5">
        <f>COUNTIF(Réponses!$B79:$U79,"="&amp;P$1)/$B$103</f>
        <v>0</v>
      </c>
      <c r="Q80" s="5">
        <f>COUNTIF(Réponses!$B79:$U79,"="&amp;Q$1)/$B$103</f>
        <v>0</v>
      </c>
      <c r="R80" s="5">
        <f>COUNTIF(Réponses!$B79:$U79,"="&amp;R$1)/$B$103</f>
        <v>0</v>
      </c>
      <c r="S80" s="5">
        <f>COUNTIF(Réponses!$B79:$U79,"="&amp;S$1)/$B$103</f>
        <v>0</v>
      </c>
      <c r="T80" s="5">
        <f>COUNTIF(Réponses!$B79:$U79,"="&amp;T$1)/$B$103</f>
        <v>0</v>
      </c>
      <c r="U80" s="5">
        <f>COUNTIF(Réponses!$B79:$U79,"="&amp;U$1)/$B$103</f>
        <v>0</v>
      </c>
      <c r="V80" s="5">
        <f>COUNTIF(Réponses!$B79:$U79,"="&amp;V$1)/$B$103</f>
        <v>0</v>
      </c>
    </row>
    <row r="81" spans="1:22" x14ac:dyDescent="0.25">
      <c r="A81" s="1">
        <v>79</v>
      </c>
      <c r="B81" s="1">
        <f>INDEX(Cartes!$C$2:$C$101,MATCH($A81,Cartes!$A$2:$A$101,0))</f>
        <v>15</v>
      </c>
      <c r="C81" s="5">
        <f>COUNTIF(Réponses!$B80:$U80,"="&amp;C$1)/$B$103</f>
        <v>0</v>
      </c>
      <c r="D81" s="5">
        <f>COUNTIF(Réponses!$B80:$U80,"="&amp;D$1)/$B$103</f>
        <v>0</v>
      </c>
      <c r="E81" s="5">
        <f>COUNTIF(Réponses!$B80:$U80,"="&amp;E$1)/$B$103</f>
        <v>0</v>
      </c>
      <c r="F81" s="5">
        <f>COUNTIF(Réponses!$B80:$U80,"="&amp;F$1)/$B$103</f>
        <v>0</v>
      </c>
      <c r="G81" s="5">
        <f>COUNTIF(Réponses!$B80:$U80,"="&amp;G$1)/$B$103</f>
        <v>0</v>
      </c>
      <c r="H81" s="5">
        <f>COUNTIF(Réponses!$B80:$U80,"="&amp;H$1)/$B$103</f>
        <v>0</v>
      </c>
      <c r="I81" s="5">
        <f>COUNTIF(Réponses!$B80:$U80,"="&amp;I$1)/$B$103</f>
        <v>0</v>
      </c>
      <c r="J81" s="5">
        <f>COUNTIF(Réponses!$B80:$U80,"="&amp;J$1)/$B$103</f>
        <v>0</v>
      </c>
      <c r="K81" s="5">
        <f>COUNTIF(Réponses!$B80:$U80,"="&amp;K$1)/$B$103</f>
        <v>0</v>
      </c>
      <c r="L81" s="5">
        <f>COUNTIF(Réponses!$B80:$U80,"="&amp;L$1)/$B$103</f>
        <v>0</v>
      </c>
      <c r="M81" s="5">
        <f>COUNTIF(Réponses!$B80:$U80,"="&amp;M$1)/$B$103</f>
        <v>0</v>
      </c>
      <c r="N81" s="5">
        <f>COUNTIF(Réponses!$B80:$U80,"="&amp;N$1)/$B$103</f>
        <v>0</v>
      </c>
      <c r="O81" s="5">
        <f>COUNTIF(Réponses!$B80:$U80,"="&amp;O$1)/$B$103</f>
        <v>0</v>
      </c>
      <c r="P81" s="5">
        <f>COUNTIF(Réponses!$B80:$U80,"="&amp;P$1)/$B$103</f>
        <v>0</v>
      </c>
      <c r="Q81" s="5">
        <f>COUNTIF(Réponses!$B80:$U80,"="&amp;Q$1)/$B$103</f>
        <v>1</v>
      </c>
      <c r="R81" s="5">
        <f>COUNTIF(Réponses!$B80:$U80,"="&amp;R$1)/$B$103</f>
        <v>0</v>
      </c>
      <c r="S81" s="5">
        <f>COUNTIF(Réponses!$B80:$U80,"="&amp;S$1)/$B$103</f>
        <v>0</v>
      </c>
      <c r="T81" s="5">
        <f>COUNTIF(Réponses!$B80:$U80,"="&amp;T$1)/$B$103</f>
        <v>0</v>
      </c>
      <c r="U81" s="5">
        <f>COUNTIF(Réponses!$B80:$U80,"="&amp;U$1)/$B$103</f>
        <v>0</v>
      </c>
      <c r="V81" s="5">
        <f>COUNTIF(Réponses!$B80:$U80,"="&amp;V$1)/$B$103</f>
        <v>0</v>
      </c>
    </row>
    <row r="82" spans="1:22" x14ac:dyDescent="0.25">
      <c r="A82" s="1">
        <v>80</v>
      </c>
      <c r="B82" s="1">
        <f>INDEX(Cartes!$C$2:$C$101,MATCH($A82,Cartes!$A$2:$A$101,0))</f>
        <v>18</v>
      </c>
      <c r="C82" s="5">
        <f>COUNTIF(Réponses!$B81:$U81,"="&amp;C$1)/$B$103</f>
        <v>0</v>
      </c>
      <c r="D82" s="5">
        <f>COUNTIF(Réponses!$B81:$U81,"="&amp;D$1)/$B$103</f>
        <v>0</v>
      </c>
      <c r="E82" s="5">
        <f>COUNTIF(Réponses!$B81:$U81,"="&amp;E$1)/$B$103</f>
        <v>0</v>
      </c>
      <c r="F82" s="5">
        <f>COUNTIF(Réponses!$B81:$U81,"="&amp;F$1)/$B$103</f>
        <v>0</v>
      </c>
      <c r="G82" s="5">
        <f>COUNTIF(Réponses!$B81:$U81,"="&amp;G$1)/$B$103</f>
        <v>0</v>
      </c>
      <c r="H82" s="5">
        <f>COUNTIF(Réponses!$B81:$U81,"="&amp;H$1)/$B$103</f>
        <v>0</v>
      </c>
      <c r="I82" s="5">
        <f>COUNTIF(Réponses!$B81:$U81,"="&amp;I$1)/$B$103</f>
        <v>0</v>
      </c>
      <c r="J82" s="5">
        <f>COUNTIF(Réponses!$B81:$U81,"="&amp;J$1)/$B$103</f>
        <v>0</v>
      </c>
      <c r="K82" s="5">
        <f>COUNTIF(Réponses!$B81:$U81,"="&amp;K$1)/$B$103</f>
        <v>0</v>
      </c>
      <c r="L82" s="5">
        <f>COUNTIF(Réponses!$B81:$U81,"="&amp;L$1)/$B$103</f>
        <v>0</v>
      </c>
      <c r="M82" s="5">
        <f>COUNTIF(Réponses!$B81:$U81,"="&amp;M$1)/$B$103</f>
        <v>0</v>
      </c>
      <c r="N82" s="5">
        <f>COUNTIF(Réponses!$B81:$U81,"="&amp;N$1)/$B$103</f>
        <v>0</v>
      </c>
      <c r="O82" s="5">
        <f>COUNTIF(Réponses!$B81:$U81,"="&amp;O$1)/$B$103</f>
        <v>0</v>
      </c>
      <c r="P82" s="5">
        <f>COUNTIF(Réponses!$B81:$U81,"="&amp;P$1)/$B$103</f>
        <v>0</v>
      </c>
      <c r="Q82" s="5">
        <f>COUNTIF(Réponses!$B81:$U81,"="&amp;Q$1)/$B$103</f>
        <v>0</v>
      </c>
      <c r="R82" s="5">
        <f>COUNTIF(Réponses!$B81:$U81,"="&amp;R$1)/$B$103</f>
        <v>0</v>
      </c>
      <c r="S82" s="5">
        <f>COUNTIF(Réponses!$B81:$U81,"="&amp;S$1)/$B$103</f>
        <v>0</v>
      </c>
      <c r="T82" s="5">
        <f>COUNTIF(Réponses!$B81:$U81,"="&amp;T$1)/$B$103</f>
        <v>1</v>
      </c>
      <c r="U82" s="5">
        <f>COUNTIF(Réponses!$B81:$U81,"="&amp;U$1)/$B$103</f>
        <v>0</v>
      </c>
      <c r="V82" s="5">
        <f>COUNTIF(Réponses!$B81:$U81,"="&amp;V$1)/$B$103</f>
        <v>0</v>
      </c>
    </row>
    <row r="83" spans="1:22" x14ac:dyDescent="0.25">
      <c r="A83" s="1">
        <v>81</v>
      </c>
      <c r="B83" s="1">
        <f>INDEX(Cartes!$C$2:$C$101,MATCH($A83,Cartes!$A$2:$A$101,0))</f>
        <v>20</v>
      </c>
      <c r="C83" s="5">
        <f>COUNTIF(Réponses!$B82:$U82,"="&amp;C$1)/$B$103</f>
        <v>0</v>
      </c>
      <c r="D83" s="5">
        <f>COUNTIF(Réponses!$B82:$U82,"="&amp;D$1)/$B$103</f>
        <v>0</v>
      </c>
      <c r="E83" s="5">
        <f>COUNTIF(Réponses!$B82:$U82,"="&amp;E$1)/$B$103</f>
        <v>0</v>
      </c>
      <c r="F83" s="5">
        <f>COUNTIF(Réponses!$B82:$U82,"="&amp;F$1)/$B$103</f>
        <v>0</v>
      </c>
      <c r="G83" s="5">
        <f>COUNTIF(Réponses!$B82:$U82,"="&amp;G$1)/$B$103</f>
        <v>0</v>
      </c>
      <c r="H83" s="5">
        <f>COUNTIF(Réponses!$B82:$U82,"="&amp;H$1)/$B$103</f>
        <v>0</v>
      </c>
      <c r="I83" s="5">
        <f>COUNTIF(Réponses!$B82:$U82,"="&amp;I$1)/$B$103</f>
        <v>0</v>
      </c>
      <c r="J83" s="5">
        <f>COUNTIF(Réponses!$B82:$U82,"="&amp;J$1)/$B$103</f>
        <v>0</v>
      </c>
      <c r="K83" s="5">
        <f>COUNTIF(Réponses!$B82:$U82,"="&amp;K$1)/$B$103</f>
        <v>0</v>
      </c>
      <c r="L83" s="5">
        <f>COUNTIF(Réponses!$B82:$U82,"="&amp;L$1)/$B$103</f>
        <v>0</v>
      </c>
      <c r="M83" s="5">
        <f>COUNTIF(Réponses!$B82:$U82,"="&amp;M$1)/$B$103</f>
        <v>0</v>
      </c>
      <c r="N83" s="5">
        <f>COUNTIF(Réponses!$B82:$U82,"="&amp;N$1)/$B$103</f>
        <v>0</v>
      </c>
      <c r="O83" s="5">
        <f>COUNTIF(Réponses!$B82:$U82,"="&amp;O$1)/$B$103</f>
        <v>0</v>
      </c>
      <c r="P83" s="5">
        <f>COUNTIF(Réponses!$B82:$U82,"="&amp;P$1)/$B$103</f>
        <v>0</v>
      </c>
      <c r="Q83" s="5">
        <f>COUNTIF(Réponses!$B82:$U82,"="&amp;Q$1)/$B$103</f>
        <v>0</v>
      </c>
      <c r="R83" s="5">
        <f>COUNTIF(Réponses!$B82:$U82,"="&amp;R$1)/$B$103</f>
        <v>0</v>
      </c>
      <c r="S83" s="5">
        <f>COUNTIF(Réponses!$B82:$U82,"="&amp;S$1)/$B$103</f>
        <v>0</v>
      </c>
      <c r="T83" s="5">
        <f>COUNTIF(Réponses!$B82:$U82,"="&amp;T$1)/$B$103</f>
        <v>0</v>
      </c>
      <c r="U83" s="5">
        <f>COUNTIF(Réponses!$B82:$U82,"="&amp;U$1)/$B$103</f>
        <v>0</v>
      </c>
      <c r="V83" s="5">
        <f>COUNTIF(Réponses!$B82:$U82,"="&amp;V$1)/$B$103</f>
        <v>1</v>
      </c>
    </row>
    <row r="84" spans="1:22" x14ac:dyDescent="0.25">
      <c r="A84" s="1">
        <v>82</v>
      </c>
      <c r="B84" s="1">
        <f>INDEX(Cartes!$C$2:$C$101,MATCH($A84,Cartes!$A$2:$A$101,0))</f>
        <v>8</v>
      </c>
      <c r="C84" s="5">
        <f>COUNTIF(Réponses!$B83:$U83,"="&amp;C$1)/$B$103</f>
        <v>0</v>
      </c>
      <c r="D84" s="5">
        <f>COUNTIF(Réponses!$B83:$U83,"="&amp;D$1)/$B$103</f>
        <v>0</v>
      </c>
      <c r="E84" s="5">
        <f>COUNTIF(Réponses!$B83:$U83,"="&amp;E$1)/$B$103</f>
        <v>0</v>
      </c>
      <c r="F84" s="5">
        <f>COUNTIF(Réponses!$B83:$U83,"="&amp;F$1)/$B$103</f>
        <v>0</v>
      </c>
      <c r="G84" s="5">
        <f>COUNTIF(Réponses!$B83:$U83,"="&amp;G$1)/$B$103</f>
        <v>0</v>
      </c>
      <c r="H84" s="5">
        <f>COUNTIF(Réponses!$B83:$U83,"="&amp;H$1)/$B$103</f>
        <v>0</v>
      </c>
      <c r="I84" s="5">
        <f>COUNTIF(Réponses!$B83:$U83,"="&amp;I$1)/$B$103</f>
        <v>0</v>
      </c>
      <c r="J84" s="5">
        <f>COUNTIF(Réponses!$B83:$U83,"="&amp;J$1)/$B$103</f>
        <v>1</v>
      </c>
      <c r="K84" s="5">
        <f>COUNTIF(Réponses!$B83:$U83,"="&amp;K$1)/$B$103</f>
        <v>0</v>
      </c>
      <c r="L84" s="5">
        <f>COUNTIF(Réponses!$B83:$U83,"="&amp;L$1)/$B$103</f>
        <v>0</v>
      </c>
      <c r="M84" s="5">
        <f>COUNTIF(Réponses!$B83:$U83,"="&amp;M$1)/$B$103</f>
        <v>0</v>
      </c>
      <c r="N84" s="5">
        <f>COUNTIF(Réponses!$B83:$U83,"="&amp;N$1)/$B$103</f>
        <v>0</v>
      </c>
      <c r="O84" s="5">
        <f>COUNTIF(Réponses!$B83:$U83,"="&amp;O$1)/$B$103</f>
        <v>0</v>
      </c>
      <c r="P84" s="5">
        <f>COUNTIF(Réponses!$B83:$U83,"="&amp;P$1)/$B$103</f>
        <v>0</v>
      </c>
      <c r="Q84" s="5">
        <f>COUNTIF(Réponses!$B83:$U83,"="&amp;Q$1)/$B$103</f>
        <v>0</v>
      </c>
      <c r="R84" s="5">
        <f>COUNTIF(Réponses!$B83:$U83,"="&amp;R$1)/$B$103</f>
        <v>0</v>
      </c>
      <c r="S84" s="5">
        <f>COUNTIF(Réponses!$B83:$U83,"="&amp;S$1)/$B$103</f>
        <v>0</v>
      </c>
      <c r="T84" s="5">
        <f>COUNTIF(Réponses!$B83:$U83,"="&amp;T$1)/$B$103</f>
        <v>0</v>
      </c>
      <c r="U84" s="5">
        <f>COUNTIF(Réponses!$B83:$U83,"="&amp;U$1)/$B$103</f>
        <v>0</v>
      </c>
      <c r="V84" s="5">
        <f>COUNTIF(Réponses!$B83:$U83,"="&amp;V$1)/$B$103</f>
        <v>0</v>
      </c>
    </row>
    <row r="85" spans="1:22" x14ac:dyDescent="0.25">
      <c r="A85" s="1">
        <v>83</v>
      </c>
      <c r="B85" s="1">
        <f>INDEX(Cartes!$C$2:$C$101,MATCH($A85,Cartes!$A$2:$A$101,0))</f>
        <v>17</v>
      </c>
      <c r="C85" s="5">
        <f>COUNTIF(Réponses!$B84:$U84,"="&amp;C$1)/$B$103</f>
        <v>0</v>
      </c>
      <c r="D85" s="5">
        <f>COUNTIF(Réponses!$B84:$U84,"="&amp;D$1)/$B$103</f>
        <v>0</v>
      </c>
      <c r="E85" s="5">
        <f>COUNTIF(Réponses!$B84:$U84,"="&amp;E$1)/$B$103</f>
        <v>0</v>
      </c>
      <c r="F85" s="5">
        <f>COUNTIF(Réponses!$B84:$U84,"="&amp;F$1)/$B$103</f>
        <v>0</v>
      </c>
      <c r="G85" s="5">
        <f>COUNTIF(Réponses!$B84:$U84,"="&amp;G$1)/$B$103</f>
        <v>0</v>
      </c>
      <c r="H85" s="5">
        <f>COUNTIF(Réponses!$B84:$U84,"="&amp;H$1)/$B$103</f>
        <v>0</v>
      </c>
      <c r="I85" s="5">
        <f>COUNTIF(Réponses!$B84:$U84,"="&amp;I$1)/$B$103</f>
        <v>0</v>
      </c>
      <c r="J85" s="5">
        <f>COUNTIF(Réponses!$B84:$U84,"="&amp;J$1)/$B$103</f>
        <v>0</v>
      </c>
      <c r="K85" s="5">
        <f>COUNTIF(Réponses!$B84:$U84,"="&amp;K$1)/$B$103</f>
        <v>0</v>
      </c>
      <c r="L85" s="5">
        <f>COUNTIF(Réponses!$B84:$U84,"="&amp;L$1)/$B$103</f>
        <v>0</v>
      </c>
      <c r="M85" s="5">
        <f>COUNTIF(Réponses!$B84:$U84,"="&amp;M$1)/$B$103</f>
        <v>0</v>
      </c>
      <c r="N85" s="5">
        <f>COUNTIF(Réponses!$B84:$U84,"="&amp;N$1)/$B$103</f>
        <v>0</v>
      </c>
      <c r="O85" s="5">
        <f>COUNTIF(Réponses!$B84:$U84,"="&amp;O$1)/$B$103</f>
        <v>0</v>
      </c>
      <c r="P85" s="5">
        <f>COUNTIF(Réponses!$B84:$U84,"="&amp;P$1)/$B$103</f>
        <v>0</v>
      </c>
      <c r="Q85" s="5">
        <f>COUNTIF(Réponses!$B84:$U84,"="&amp;Q$1)/$B$103</f>
        <v>0</v>
      </c>
      <c r="R85" s="5">
        <f>COUNTIF(Réponses!$B84:$U84,"="&amp;R$1)/$B$103</f>
        <v>0</v>
      </c>
      <c r="S85" s="5">
        <f>COUNTIF(Réponses!$B84:$U84,"="&amp;S$1)/$B$103</f>
        <v>1</v>
      </c>
      <c r="T85" s="5">
        <f>COUNTIF(Réponses!$B84:$U84,"="&amp;T$1)/$B$103</f>
        <v>0</v>
      </c>
      <c r="U85" s="5">
        <f>COUNTIF(Réponses!$B84:$U84,"="&amp;U$1)/$B$103</f>
        <v>0</v>
      </c>
      <c r="V85" s="5">
        <f>COUNTIF(Réponses!$B84:$U84,"="&amp;V$1)/$B$103</f>
        <v>0</v>
      </c>
    </row>
    <row r="86" spans="1:22" x14ac:dyDescent="0.25">
      <c r="A86" s="1">
        <v>84</v>
      </c>
      <c r="B86" s="1">
        <f>INDEX(Cartes!$C$2:$C$101,MATCH($A86,Cartes!$A$2:$A$101,0))</f>
        <v>15</v>
      </c>
      <c r="C86" s="5">
        <f>COUNTIF(Réponses!$B85:$U85,"="&amp;C$1)/$B$103</f>
        <v>0</v>
      </c>
      <c r="D86" s="5">
        <f>COUNTIF(Réponses!$B85:$U85,"="&amp;D$1)/$B$103</f>
        <v>0</v>
      </c>
      <c r="E86" s="5">
        <f>COUNTIF(Réponses!$B85:$U85,"="&amp;E$1)/$B$103</f>
        <v>0</v>
      </c>
      <c r="F86" s="5">
        <f>COUNTIF(Réponses!$B85:$U85,"="&amp;F$1)/$B$103</f>
        <v>0</v>
      </c>
      <c r="G86" s="5">
        <f>COUNTIF(Réponses!$B85:$U85,"="&amp;G$1)/$B$103</f>
        <v>0</v>
      </c>
      <c r="H86" s="5">
        <f>COUNTIF(Réponses!$B85:$U85,"="&amp;H$1)/$B$103</f>
        <v>0</v>
      </c>
      <c r="I86" s="5">
        <f>COUNTIF(Réponses!$B85:$U85,"="&amp;I$1)/$B$103</f>
        <v>0</v>
      </c>
      <c r="J86" s="5">
        <f>COUNTIF(Réponses!$B85:$U85,"="&amp;J$1)/$B$103</f>
        <v>0</v>
      </c>
      <c r="K86" s="5">
        <f>COUNTIF(Réponses!$B85:$U85,"="&amp;K$1)/$B$103</f>
        <v>0</v>
      </c>
      <c r="L86" s="5">
        <f>COUNTIF(Réponses!$B85:$U85,"="&amp;L$1)/$B$103</f>
        <v>0</v>
      </c>
      <c r="M86" s="5">
        <f>COUNTIF(Réponses!$B85:$U85,"="&amp;M$1)/$B$103</f>
        <v>0</v>
      </c>
      <c r="N86" s="5">
        <f>COUNTIF(Réponses!$B85:$U85,"="&amp;N$1)/$B$103</f>
        <v>0</v>
      </c>
      <c r="O86" s="5">
        <f>COUNTIF(Réponses!$B85:$U85,"="&amp;O$1)/$B$103</f>
        <v>0</v>
      </c>
      <c r="P86" s="5">
        <f>COUNTIF(Réponses!$B85:$U85,"="&amp;P$1)/$B$103</f>
        <v>0</v>
      </c>
      <c r="Q86" s="5">
        <f>COUNTIF(Réponses!$B85:$U85,"="&amp;Q$1)/$B$103</f>
        <v>1</v>
      </c>
      <c r="R86" s="5">
        <f>COUNTIF(Réponses!$B85:$U85,"="&amp;R$1)/$B$103</f>
        <v>0</v>
      </c>
      <c r="S86" s="5">
        <f>COUNTIF(Réponses!$B85:$U85,"="&amp;S$1)/$B$103</f>
        <v>0</v>
      </c>
      <c r="T86" s="5">
        <f>COUNTIF(Réponses!$B85:$U85,"="&amp;T$1)/$B$103</f>
        <v>0</v>
      </c>
      <c r="U86" s="5">
        <f>COUNTIF(Réponses!$B85:$U85,"="&amp;U$1)/$B$103</f>
        <v>0</v>
      </c>
      <c r="V86" s="5">
        <f>COUNTIF(Réponses!$B85:$U85,"="&amp;V$1)/$B$103</f>
        <v>0</v>
      </c>
    </row>
    <row r="87" spans="1:22" x14ac:dyDescent="0.25">
      <c r="A87" s="1">
        <v>85</v>
      </c>
      <c r="B87" s="1">
        <f>INDEX(Cartes!$C$2:$C$101,MATCH($A87,Cartes!$A$2:$A$101,0))</f>
        <v>18</v>
      </c>
      <c r="C87" s="5">
        <f>COUNTIF(Réponses!$B86:$U86,"="&amp;C$1)/$B$103</f>
        <v>0</v>
      </c>
      <c r="D87" s="5">
        <f>COUNTIF(Réponses!$B86:$U86,"="&amp;D$1)/$B$103</f>
        <v>0</v>
      </c>
      <c r="E87" s="5">
        <f>COUNTIF(Réponses!$B86:$U86,"="&amp;E$1)/$B$103</f>
        <v>0</v>
      </c>
      <c r="F87" s="5">
        <f>COUNTIF(Réponses!$B86:$U86,"="&amp;F$1)/$B$103</f>
        <v>0</v>
      </c>
      <c r="G87" s="5">
        <f>COUNTIF(Réponses!$B86:$U86,"="&amp;G$1)/$B$103</f>
        <v>0</v>
      </c>
      <c r="H87" s="5">
        <f>COUNTIF(Réponses!$B86:$U86,"="&amp;H$1)/$B$103</f>
        <v>0</v>
      </c>
      <c r="I87" s="5">
        <f>COUNTIF(Réponses!$B86:$U86,"="&amp;I$1)/$B$103</f>
        <v>0</v>
      </c>
      <c r="J87" s="5">
        <f>COUNTIF(Réponses!$B86:$U86,"="&amp;J$1)/$B$103</f>
        <v>0</v>
      </c>
      <c r="K87" s="5">
        <f>COUNTIF(Réponses!$B86:$U86,"="&amp;K$1)/$B$103</f>
        <v>0</v>
      </c>
      <c r="L87" s="5">
        <f>COUNTIF(Réponses!$B86:$U86,"="&amp;L$1)/$B$103</f>
        <v>0</v>
      </c>
      <c r="M87" s="5">
        <f>COUNTIF(Réponses!$B86:$U86,"="&amp;M$1)/$B$103</f>
        <v>0</v>
      </c>
      <c r="N87" s="5">
        <f>COUNTIF(Réponses!$B86:$U86,"="&amp;N$1)/$B$103</f>
        <v>0</v>
      </c>
      <c r="O87" s="5">
        <f>COUNTIF(Réponses!$B86:$U86,"="&amp;O$1)/$B$103</f>
        <v>0</v>
      </c>
      <c r="P87" s="5">
        <f>COUNTIF(Réponses!$B86:$U86,"="&amp;P$1)/$B$103</f>
        <v>0</v>
      </c>
      <c r="Q87" s="5">
        <f>COUNTIF(Réponses!$B86:$U86,"="&amp;Q$1)/$B$103</f>
        <v>0</v>
      </c>
      <c r="R87" s="5">
        <f>COUNTIF(Réponses!$B86:$U86,"="&amp;R$1)/$B$103</f>
        <v>0</v>
      </c>
      <c r="S87" s="5">
        <f>COUNTIF(Réponses!$B86:$U86,"="&amp;S$1)/$B$103</f>
        <v>0</v>
      </c>
      <c r="T87" s="5">
        <f>COUNTIF(Réponses!$B86:$U86,"="&amp;T$1)/$B$103</f>
        <v>1</v>
      </c>
      <c r="U87" s="5">
        <f>COUNTIF(Réponses!$B86:$U86,"="&amp;U$1)/$B$103</f>
        <v>0</v>
      </c>
      <c r="V87" s="5">
        <f>COUNTIF(Réponses!$B86:$U86,"="&amp;V$1)/$B$103</f>
        <v>0</v>
      </c>
    </row>
    <row r="88" spans="1:22" x14ac:dyDescent="0.25">
      <c r="A88" s="1">
        <v>86</v>
      </c>
      <c r="B88" s="1">
        <f>INDEX(Cartes!$C$2:$C$101,MATCH($A88,Cartes!$A$2:$A$101,0))</f>
        <v>17</v>
      </c>
      <c r="C88" s="5">
        <f>COUNTIF(Réponses!$B87:$U87,"="&amp;C$1)/$B$103</f>
        <v>0</v>
      </c>
      <c r="D88" s="5">
        <f>COUNTIF(Réponses!$B87:$U87,"="&amp;D$1)/$B$103</f>
        <v>0</v>
      </c>
      <c r="E88" s="5">
        <f>COUNTIF(Réponses!$B87:$U87,"="&amp;E$1)/$B$103</f>
        <v>0</v>
      </c>
      <c r="F88" s="5">
        <f>COUNTIF(Réponses!$B87:$U87,"="&amp;F$1)/$B$103</f>
        <v>0</v>
      </c>
      <c r="G88" s="5">
        <f>COUNTIF(Réponses!$B87:$U87,"="&amp;G$1)/$B$103</f>
        <v>0</v>
      </c>
      <c r="H88" s="5">
        <f>COUNTIF(Réponses!$B87:$U87,"="&amp;H$1)/$B$103</f>
        <v>0</v>
      </c>
      <c r="I88" s="5">
        <f>COUNTIF(Réponses!$B87:$U87,"="&amp;I$1)/$B$103</f>
        <v>0</v>
      </c>
      <c r="J88" s="5">
        <f>COUNTIF(Réponses!$B87:$U87,"="&amp;J$1)/$B$103</f>
        <v>0</v>
      </c>
      <c r="K88" s="5">
        <f>COUNTIF(Réponses!$B87:$U87,"="&amp;K$1)/$B$103</f>
        <v>0</v>
      </c>
      <c r="L88" s="5">
        <f>COUNTIF(Réponses!$B87:$U87,"="&amp;L$1)/$B$103</f>
        <v>0</v>
      </c>
      <c r="M88" s="5">
        <f>COUNTIF(Réponses!$B87:$U87,"="&amp;M$1)/$B$103</f>
        <v>0</v>
      </c>
      <c r="N88" s="5">
        <f>COUNTIF(Réponses!$B87:$U87,"="&amp;N$1)/$B$103</f>
        <v>0</v>
      </c>
      <c r="O88" s="5">
        <f>COUNTIF(Réponses!$B87:$U87,"="&amp;O$1)/$B$103</f>
        <v>0</v>
      </c>
      <c r="P88" s="5">
        <f>COUNTIF(Réponses!$B87:$U87,"="&amp;P$1)/$B$103</f>
        <v>0</v>
      </c>
      <c r="Q88" s="5">
        <f>COUNTIF(Réponses!$B87:$U87,"="&amp;Q$1)/$B$103</f>
        <v>0</v>
      </c>
      <c r="R88" s="5">
        <f>COUNTIF(Réponses!$B87:$U87,"="&amp;R$1)/$B$103</f>
        <v>0</v>
      </c>
      <c r="S88" s="5">
        <f>COUNTIF(Réponses!$B87:$U87,"="&amp;S$1)/$B$103</f>
        <v>1</v>
      </c>
      <c r="T88" s="5">
        <f>COUNTIF(Réponses!$B87:$U87,"="&amp;T$1)/$B$103</f>
        <v>0</v>
      </c>
      <c r="U88" s="5">
        <f>COUNTIF(Réponses!$B87:$U87,"="&amp;U$1)/$B$103</f>
        <v>0</v>
      </c>
      <c r="V88" s="5">
        <f>COUNTIF(Réponses!$B87:$U87,"="&amp;V$1)/$B$103</f>
        <v>0</v>
      </c>
    </row>
    <row r="89" spans="1:22" x14ac:dyDescent="0.25">
      <c r="A89" s="1">
        <v>87</v>
      </c>
      <c r="B89" s="1">
        <f>INDEX(Cartes!$C$2:$C$101,MATCH($A89,Cartes!$A$2:$A$101,0))</f>
        <v>11</v>
      </c>
      <c r="C89" s="5">
        <f>COUNTIF(Réponses!$B88:$U88,"="&amp;C$1)/$B$103</f>
        <v>0</v>
      </c>
      <c r="D89" s="5">
        <f>COUNTIF(Réponses!$B88:$U88,"="&amp;D$1)/$B$103</f>
        <v>0</v>
      </c>
      <c r="E89" s="5">
        <f>COUNTIF(Réponses!$B88:$U88,"="&amp;E$1)/$B$103</f>
        <v>0</v>
      </c>
      <c r="F89" s="5">
        <f>COUNTIF(Réponses!$B88:$U88,"="&amp;F$1)/$B$103</f>
        <v>0</v>
      </c>
      <c r="G89" s="5">
        <f>COUNTIF(Réponses!$B88:$U88,"="&amp;G$1)/$B$103</f>
        <v>0</v>
      </c>
      <c r="H89" s="5">
        <f>COUNTIF(Réponses!$B88:$U88,"="&amp;H$1)/$B$103</f>
        <v>0</v>
      </c>
      <c r="I89" s="5">
        <f>COUNTIF(Réponses!$B88:$U88,"="&amp;I$1)/$B$103</f>
        <v>0</v>
      </c>
      <c r="J89" s="5">
        <f>COUNTIF(Réponses!$B88:$U88,"="&amp;J$1)/$B$103</f>
        <v>0</v>
      </c>
      <c r="K89" s="5">
        <f>COUNTIF(Réponses!$B88:$U88,"="&amp;K$1)/$B$103</f>
        <v>0</v>
      </c>
      <c r="L89" s="5">
        <f>COUNTIF(Réponses!$B88:$U88,"="&amp;L$1)/$B$103</f>
        <v>0</v>
      </c>
      <c r="M89" s="5">
        <f>COUNTIF(Réponses!$B88:$U88,"="&amp;M$1)/$B$103</f>
        <v>1</v>
      </c>
      <c r="N89" s="5">
        <f>COUNTIF(Réponses!$B88:$U88,"="&amp;N$1)/$B$103</f>
        <v>0</v>
      </c>
      <c r="O89" s="5">
        <f>COUNTIF(Réponses!$B88:$U88,"="&amp;O$1)/$B$103</f>
        <v>0</v>
      </c>
      <c r="P89" s="5">
        <f>COUNTIF(Réponses!$B88:$U88,"="&amp;P$1)/$B$103</f>
        <v>0</v>
      </c>
      <c r="Q89" s="5">
        <f>COUNTIF(Réponses!$B88:$U88,"="&amp;Q$1)/$B$103</f>
        <v>0</v>
      </c>
      <c r="R89" s="5">
        <f>COUNTIF(Réponses!$B88:$U88,"="&amp;R$1)/$B$103</f>
        <v>0</v>
      </c>
      <c r="S89" s="5">
        <f>COUNTIF(Réponses!$B88:$U88,"="&amp;S$1)/$B$103</f>
        <v>0</v>
      </c>
      <c r="T89" s="5">
        <f>COUNTIF(Réponses!$B88:$U88,"="&amp;T$1)/$B$103</f>
        <v>0</v>
      </c>
      <c r="U89" s="5">
        <f>COUNTIF(Réponses!$B88:$U88,"="&amp;U$1)/$B$103</f>
        <v>0</v>
      </c>
      <c r="V89" s="5">
        <f>COUNTIF(Réponses!$B88:$U88,"="&amp;V$1)/$B$103</f>
        <v>0</v>
      </c>
    </row>
    <row r="90" spans="1:22" x14ac:dyDescent="0.25">
      <c r="A90" s="1">
        <v>88</v>
      </c>
      <c r="B90" s="1">
        <f>INDEX(Cartes!$C$2:$C$101,MATCH($A90,Cartes!$A$2:$A$101,0))</f>
        <v>18</v>
      </c>
      <c r="C90" s="5">
        <f>COUNTIF(Réponses!$B89:$U89,"="&amp;C$1)/$B$103</f>
        <v>0</v>
      </c>
      <c r="D90" s="5">
        <f>COUNTIF(Réponses!$B89:$U89,"="&amp;D$1)/$B$103</f>
        <v>0</v>
      </c>
      <c r="E90" s="5">
        <f>COUNTIF(Réponses!$B89:$U89,"="&amp;E$1)/$B$103</f>
        <v>0</v>
      </c>
      <c r="F90" s="5">
        <f>COUNTIF(Réponses!$B89:$U89,"="&amp;F$1)/$B$103</f>
        <v>0</v>
      </c>
      <c r="G90" s="5">
        <f>COUNTIF(Réponses!$B89:$U89,"="&amp;G$1)/$B$103</f>
        <v>0</v>
      </c>
      <c r="H90" s="5">
        <f>COUNTIF(Réponses!$B89:$U89,"="&amp;H$1)/$B$103</f>
        <v>0</v>
      </c>
      <c r="I90" s="5">
        <f>COUNTIF(Réponses!$B89:$U89,"="&amp;I$1)/$B$103</f>
        <v>0</v>
      </c>
      <c r="J90" s="5">
        <f>COUNTIF(Réponses!$B89:$U89,"="&amp;J$1)/$B$103</f>
        <v>0</v>
      </c>
      <c r="K90" s="5">
        <f>COUNTIF(Réponses!$B89:$U89,"="&amp;K$1)/$B$103</f>
        <v>0</v>
      </c>
      <c r="L90" s="5">
        <f>COUNTIF(Réponses!$B89:$U89,"="&amp;L$1)/$B$103</f>
        <v>0</v>
      </c>
      <c r="M90" s="5">
        <f>COUNTIF(Réponses!$B89:$U89,"="&amp;M$1)/$B$103</f>
        <v>0</v>
      </c>
      <c r="N90" s="5">
        <f>COUNTIF(Réponses!$B89:$U89,"="&amp;N$1)/$B$103</f>
        <v>0</v>
      </c>
      <c r="O90" s="5">
        <f>COUNTIF(Réponses!$B89:$U89,"="&amp;O$1)/$B$103</f>
        <v>0</v>
      </c>
      <c r="P90" s="5">
        <f>COUNTIF(Réponses!$B89:$U89,"="&amp;P$1)/$B$103</f>
        <v>0</v>
      </c>
      <c r="Q90" s="5">
        <f>COUNTIF(Réponses!$B89:$U89,"="&amp;Q$1)/$B$103</f>
        <v>0</v>
      </c>
      <c r="R90" s="5">
        <f>COUNTIF(Réponses!$B89:$U89,"="&amp;R$1)/$B$103</f>
        <v>0</v>
      </c>
      <c r="S90" s="5">
        <f>COUNTIF(Réponses!$B89:$U89,"="&amp;S$1)/$B$103</f>
        <v>0</v>
      </c>
      <c r="T90" s="5">
        <f>COUNTIF(Réponses!$B89:$U89,"="&amp;T$1)/$B$103</f>
        <v>1</v>
      </c>
      <c r="U90" s="5">
        <f>COUNTIF(Réponses!$B89:$U89,"="&amp;U$1)/$B$103</f>
        <v>0</v>
      </c>
      <c r="V90" s="5">
        <f>COUNTIF(Réponses!$B89:$U89,"="&amp;V$1)/$B$103</f>
        <v>0</v>
      </c>
    </row>
    <row r="91" spans="1:22" x14ac:dyDescent="0.25">
      <c r="A91" s="1">
        <v>89</v>
      </c>
      <c r="B91" s="1">
        <f>INDEX(Cartes!$C$2:$C$101,MATCH($A91,Cartes!$A$2:$A$101,0))</f>
        <v>18</v>
      </c>
      <c r="C91" s="5">
        <f>COUNTIF(Réponses!$B90:$U90,"="&amp;C$1)/$B$103</f>
        <v>0</v>
      </c>
      <c r="D91" s="5">
        <f>COUNTIF(Réponses!$B90:$U90,"="&amp;D$1)/$B$103</f>
        <v>0</v>
      </c>
      <c r="E91" s="5">
        <f>COUNTIF(Réponses!$B90:$U90,"="&amp;E$1)/$B$103</f>
        <v>0</v>
      </c>
      <c r="F91" s="5">
        <f>COUNTIF(Réponses!$B90:$U90,"="&amp;F$1)/$B$103</f>
        <v>0</v>
      </c>
      <c r="G91" s="5">
        <f>COUNTIF(Réponses!$B90:$U90,"="&amp;G$1)/$B$103</f>
        <v>0</v>
      </c>
      <c r="H91" s="5">
        <f>COUNTIF(Réponses!$B90:$U90,"="&amp;H$1)/$B$103</f>
        <v>0</v>
      </c>
      <c r="I91" s="5">
        <f>COUNTIF(Réponses!$B90:$U90,"="&amp;I$1)/$B$103</f>
        <v>0</v>
      </c>
      <c r="J91" s="5">
        <f>COUNTIF(Réponses!$B90:$U90,"="&amp;J$1)/$B$103</f>
        <v>0</v>
      </c>
      <c r="K91" s="5">
        <f>COUNTIF(Réponses!$B90:$U90,"="&amp;K$1)/$B$103</f>
        <v>0</v>
      </c>
      <c r="L91" s="5">
        <f>COUNTIF(Réponses!$B90:$U90,"="&amp;L$1)/$B$103</f>
        <v>0</v>
      </c>
      <c r="M91" s="5">
        <f>COUNTIF(Réponses!$B90:$U90,"="&amp;M$1)/$B$103</f>
        <v>0</v>
      </c>
      <c r="N91" s="5">
        <f>COUNTIF(Réponses!$B90:$U90,"="&amp;N$1)/$B$103</f>
        <v>0</v>
      </c>
      <c r="O91" s="5">
        <f>COUNTIF(Réponses!$B90:$U90,"="&amp;O$1)/$B$103</f>
        <v>0</v>
      </c>
      <c r="P91" s="5">
        <f>COUNTIF(Réponses!$B90:$U90,"="&amp;P$1)/$B$103</f>
        <v>0</v>
      </c>
      <c r="Q91" s="5">
        <f>COUNTIF(Réponses!$B90:$U90,"="&amp;Q$1)/$B$103</f>
        <v>0</v>
      </c>
      <c r="R91" s="5">
        <f>COUNTIF(Réponses!$B90:$U90,"="&amp;R$1)/$B$103</f>
        <v>0</v>
      </c>
      <c r="S91" s="5">
        <f>COUNTIF(Réponses!$B90:$U90,"="&amp;S$1)/$B$103</f>
        <v>0</v>
      </c>
      <c r="T91" s="5">
        <f>COUNTIF(Réponses!$B90:$U90,"="&amp;T$1)/$B$103</f>
        <v>1</v>
      </c>
      <c r="U91" s="5">
        <f>COUNTIF(Réponses!$B90:$U90,"="&amp;U$1)/$B$103</f>
        <v>0</v>
      </c>
      <c r="V91" s="5">
        <f>COUNTIF(Réponses!$B90:$U90,"="&amp;V$1)/$B$103</f>
        <v>0</v>
      </c>
    </row>
    <row r="92" spans="1:22" x14ac:dyDescent="0.25">
      <c r="A92" s="1">
        <v>90</v>
      </c>
      <c r="B92" s="1">
        <f>INDEX(Cartes!$C$2:$C$101,MATCH($A92,Cartes!$A$2:$A$101,0))</f>
        <v>19</v>
      </c>
      <c r="C92" s="5">
        <f>COUNTIF(Réponses!$B91:$U91,"="&amp;C$1)/$B$103</f>
        <v>0</v>
      </c>
      <c r="D92" s="5">
        <f>COUNTIF(Réponses!$B91:$U91,"="&amp;D$1)/$B$103</f>
        <v>0</v>
      </c>
      <c r="E92" s="5">
        <f>COUNTIF(Réponses!$B91:$U91,"="&amp;E$1)/$B$103</f>
        <v>0</v>
      </c>
      <c r="F92" s="5">
        <f>COUNTIF(Réponses!$B91:$U91,"="&amp;F$1)/$B$103</f>
        <v>0</v>
      </c>
      <c r="G92" s="5">
        <f>COUNTIF(Réponses!$B91:$U91,"="&amp;G$1)/$B$103</f>
        <v>0</v>
      </c>
      <c r="H92" s="5">
        <f>COUNTIF(Réponses!$B91:$U91,"="&amp;H$1)/$B$103</f>
        <v>0</v>
      </c>
      <c r="I92" s="5">
        <f>COUNTIF(Réponses!$B91:$U91,"="&amp;I$1)/$B$103</f>
        <v>0</v>
      </c>
      <c r="J92" s="5">
        <f>COUNTIF(Réponses!$B91:$U91,"="&amp;J$1)/$B$103</f>
        <v>0</v>
      </c>
      <c r="K92" s="5">
        <f>COUNTIF(Réponses!$B91:$U91,"="&amp;K$1)/$B$103</f>
        <v>0</v>
      </c>
      <c r="L92" s="5">
        <f>COUNTIF(Réponses!$B91:$U91,"="&amp;L$1)/$B$103</f>
        <v>0</v>
      </c>
      <c r="M92" s="5">
        <f>COUNTIF(Réponses!$B91:$U91,"="&amp;M$1)/$B$103</f>
        <v>0</v>
      </c>
      <c r="N92" s="5">
        <f>COUNTIF(Réponses!$B91:$U91,"="&amp;N$1)/$B$103</f>
        <v>0</v>
      </c>
      <c r="O92" s="5">
        <f>COUNTIF(Réponses!$B91:$U91,"="&amp;O$1)/$B$103</f>
        <v>0</v>
      </c>
      <c r="P92" s="5">
        <f>COUNTIF(Réponses!$B91:$U91,"="&amp;P$1)/$B$103</f>
        <v>0</v>
      </c>
      <c r="Q92" s="5">
        <f>COUNTIF(Réponses!$B91:$U91,"="&amp;Q$1)/$B$103</f>
        <v>0</v>
      </c>
      <c r="R92" s="5">
        <f>COUNTIF(Réponses!$B91:$U91,"="&amp;R$1)/$B$103</f>
        <v>0</v>
      </c>
      <c r="S92" s="5">
        <f>COUNTIF(Réponses!$B91:$U91,"="&amp;S$1)/$B$103</f>
        <v>0</v>
      </c>
      <c r="T92" s="5">
        <f>COUNTIF(Réponses!$B91:$U91,"="&amp;T$1)/$B$103</f>
        <v>0</v>
      </c>
      <c r="U92" s="5">
        <f>COUNTIF(Réponses!$B91:$U91,"="&amp;U$1)/$B$103</f>
        <v>1</v>
      </c>
      <c r="V92" s="5">
        <f>COUNTIF(Réponses!$B91:$U91,"="&amp;V$1)/$B$103</f>
        <v>0</v>
      </c>
    </row>
    <row r="93" spans="1:22" x14ac:dyDescent="0.25">
      <c r="A93" s="1">
        <v>91</v>
      </c>
      <c r="B93" s="1">
        <f>INDEX(Cartes!$C$2:$C$101,MATCH($A93,Cartes!$A$2:$A$101,0))</f>
        <v>9</v>
      </c>
      <c r="C93" s="5">
        <f>COUNTIF(Réponses!$B92:$U92,"="&amp;C$1)/$B$103</f>
        <v>0</v>
      </c>
      <c r="D93" s="5">
        <f>COUNTIF(Réponses!$B92:$U92,"="&amp;D$1)/$B$103</f>
        <v>0</v>
      </c>
      <c r="E93" s="5">
        <f>COUNTIF(Réponses!$B92:$U92,"="&amp;E$1)/$B$103</f>
        <v>0</v>
      </c>
      <c r="F93" s="5">
        <f>COUNTIF(Réponses!$B92:$U92,"="&amp;F$1)/$B$103</f>
        <v>0</v>
      </c>
      <c r="G93" s="5">
        <f>COUNTIF(Réponses!$B92:$U92,"="&amp;G$1)/$B$103</f>
        <v>0</v>
      </c>
      <c r="H93" s="5">
        <f>COUNTIF(Réponses!$B92:$U92,"="&amp;H$1)/$B$103</f>
        <v>0</v>
      </c>
      <c r="I93" s="5">
        <f>COUNTIF(Réponses!$B92:$U92,"="&amp;I$1)/$B$103</f>
        <v>0</v>
      </c>
      <c r="J93" s="5">
        <f>COUNTIF(Réponses!$B92:$U92,"="&amp;J$1)/$B$103</f>
        <v>0</v>
      </c>
      <c r="K93" s="5">
        <f>COUNTIF(Réponses!$B92:$U92,"="&amp;K$1)/$B$103</f>
        <v>1</v>
      </c>
      <c r="L93" s="5">
        <f>COUNTIF(Réponses!$B92:$U92,"="&amp;L$1)/$B$103</f>
        <v>0</v>
      </c>
      <c r="M93" s="5">
        <f>COUNTIF(Réponses!$B92:$U92,"="&amp;M$1)/$B$103</f>
        <v>0</v>
      </c>
      <c r="N93" s="5">
        <f>COUNTIF(Réponses!$B92:$U92,"="&amp;N$1)/$B$103</f>
        <v>0</v>
      </c>
      <c r="O93" s="5">
        <f>COUNTIF(Réponses!$B92:$U92,"="&amp;O$1)/$B$103</f>
        <v>0</v>
      </c>
      <c r="P93" s="5">
        <f>COUNTIF(Réponses!$B92:$U92,"="&amp;P$1)/$B$103</f>
        <v>0</v>
      </c>
      <c r="Q93" s="5">
        <f>COUNTIF(Réponses!$B92:$U92,"="&amp;Q$1)/$B$103</f>
        <v>0</v>
      </c>
      <c r="R93" s="5">
        <f>COUNTIF(Réponses!$B92:$U92,"="&amp;R$1)/$B$103</f>
        <v>0</v>
      </c>
      <c r="S93" s="5">
        <f>COUNTIF(Réponses!$B92:$U92,"="&amp;S$1)/$B$103</f>
        <v>0</v>
      </c>
      <c r="T93" s="5">
        <f>COUNTIF(Réponses!$B92:$U92,"="&amp;T$1)/$B$103</f>
        <v>0</v>
      </c>
      <c r="U93" s="5">
        <f>COUNTIF(Réponses!$B92:$U92,"="&amp;U$1)/$B$103</f>
        <v>0</v>
      </c>
      <c r="V93" s="5">
        <f>COUNTIF(Réponses!$B92:$U92,"="&amp;V$1)/$B$103</f>
        <v>0</v>
      </c>
    </row>
    <row r="94" spans="1:22" x14ac:dyDescent="0.25">
      <c r="A94" s="1">
        <v>92</v>
      </c>
      <c r="B94" s="1">
        <f>INDEX(Cartes!$C$2:$C$101,MATCH($A94,Cartes!$A$2:$A$101,0))</f>
        <v>3</v>
      </c>
      <c r="C94" s="5">
        <f>COUNTIF(Réponses!$B93:$U93,"="&amp;C$1)/$B$103</f>
        <v>0</v>
      </c>
      <c r="D94" s="5">
        <f>COUNTIF(Réponses!$B93:$U93,"="&amp;D$1)/$B$103</f>
        <v>0</v>
      </c>
      <c r="E94" s="5">
        <f>COUNTIF(Réponses!$B93:$U93,"="&amp;E$1)/$B$103</f>
        <v>1</v>
      </c>
      <c r="F94" s="5">
        <f>COUNTIF(Réponses!$B93:$U93,"="&amp;F$1)/$B$103</f>
        <v>0</v>
      </c>
      <c r="G94" s="5">
        <f>COUNTIF(Réponses!$B93:$U93,"="&amp;G$1)/$B$103</f>
        <v>0</v>
      </c>
      <c r="H94" s="5">
        <f>COUNTIF(Réponses!$B93:$U93,"="&amp;H$1)/$B$103</f>
        <v>0</v>
      </c>
      <c r="I94" s="5">
        <f>COUNTIF(Réponses!$B93:$U93,"="&amp;I$1)/$B$103</f>
        <v>0</v>
      </c>
      <c r="J94" s="5">
        <f>COUNTIF(Réponses!$B93:$U93,"="&amp;J$1)/$B$103</f>
        <v>0</v>
      </c>
      <c r="K94" s="5">
        <f>COUNTIF(Réponses!$B93:$U93,"="&amp;K$1)/$B$103</f>
        <v>0</v>
      </c>
      <c r="L94" s="5">
        <f>COUNTIF(Réponses!$B93:$U93,"="&amp;L$1)/$B$103</f>
        <v>0</v>
      </c>
      <c r="M94" s="5">
        <f>COUNTIF(Réponses!$B93:$U93,"="&amp;M$1)/$B$103</f>
        <v>0</v>
      </c>
      <c r="N94" s="5">
        <f>COUNTIF(Réponses!$B93:$U93,"="&amp;N$1)/$B$103</f>
        <v>0</v>
      </c>
      <c r="O94" s="5">
        <f>COUNTIF(Réponses!$B93:$U93,"="&amp;O$1)/$B$103</f>
        <v>0</v>
      </c>
      <c r="P94" s="5">
        <f>COUNTIF(Réponses!$B93:$U93,"="&amp;P$1)/$B$103</f>
        <v>0</v>
      </c>
      <c r="Q94" s="5">
        <f>COUNTIF(Réponses!$B93:$U93,"="&amp;Q$1)/$B$103</f>
        <v>0</v>
      </c>
      <c r="R94" s="5">
        <f>COUNTIF(Réponses!$B93:$U93,"="&amp;R$1)/$B$103</f>
        <v>0</v>
      </c>
      <c r="S94" s="5">
        <f>COUNTIF(Réponses!$B93:$U93,"="&amp;S$1)/$B$103</f>
        <v>0</v>
      </c>
      <c r="T94" s="5">
        <f>COUNTIF(Réponses!$B93:$U93,"="&amp;T$1)/$B$103</f>
        <v>0</v>
      </c>
      <c r="U94" s="5">
        <f>COUNTIF(Réponses!$B93:$U93,"="&amp;U$1)/$B$103</f>
        <v>0</v>
      </c>
      <c r="V94" s="5">
        <f>COUNTIF(Réponses!$B93:$U93,"="&amp;V$1)/$B$103</f>
        <v>0</v>
      </c>
    </row>
    <row r="95" spans="1:22" x14ac:dyDescent="0.25">
      <c r="A95" s="1">
        <v>93</v>
      </c>
      <c r="B95" s="1">
        <f>INDEX(Cartes!$C$2:$C$101,MATCH($A95,Cartes!$A$2:$A$101,0))</f>
        <v>1</v>
      </c>
      <c r="C95" s="5">
        <f>COUNTIF(Réponses!$B94:$U94,"="&amp;C$1)/$B$103</f>
        <v>1</v>
      </c>
      <c r="D95" s="5">
        <f>COUNTIF(Réponses!$B94:$U94,"="&amp;D$1)/$B$103</f>
        <v>0</v>
      </c>
      <c r="E95" s="5">
        <f>COUNTIF(Réponses!$B94:$U94,"="&amp;E$1)/$B$103</f>
        <v>0</v>
      </c>
      <c r="F95" s="5">
        <f>COUNTIF(Réponses!$B94:$U94,"="&amp;F$1)/$B$103</f>
        <v>0</v>
      </c>
      <c r="G95" s="5">
        <f>COUNTIF(Réponses!$B94:$U94,"="&amp;G$1)/$B$103</f>
        <v>0</v>
      </c>
      <c r="H95" s="5">
        <f>COUNTIF(Réponses!$B94:$U94,"="&amp;H$1)/$B$103</f>
        <v>0</v>
      </c>
      <c r="I95" s="5">
        <f>COUNTIF(Réponses!$B94:$U94,"="&amp;I$1)/$B$103</f>
        <v>0</v>
      </c>
      <c r="J95" s="5">
        <f>COUNTIF(Réponses!$B94:$U94,"="&amp;J$1)/$B$103</f>
        <v>0</v>
      </c>
      <c r="K95" s="5">
        <f>COUNTIF(Réponses!$B94:$U94,"="&amp;K$1)/$B$103</f>
        <v>0</v>
      </c>
      <c r="L95" s="5">
        <f>COUNTIF(Réponses!$B94:$U94,"="&amp;L$1)/$B$103</f>
        <v>0</v>
      </c>
      <c r="M95" s="5">
        <f>COUNTIF(Réponses!$B94:$U94,"="&amp;M$1)/$B$103</f>
        <v>0</v>
      </c>
      <c r="N95" s="5">
        <f>COUNTIF(Réponses!$B94:$U94,"="&amp;N$1)/$B$103</f>
        <v>0</v>
      </c>
      <c r="O95" s="5">
        <f>COUNTIF(Réponses!$B94:$U94,"="&amp;O$1)/$B$103</f>
        <v>0</v>
      </c>
      <c r="P95" s="5">
        <f>COUNTIF(Réponses!$B94:$U94,"="&amp;P$1)/$B$103</f>
        <v>0</v>
      </c>
      <c r="Q95" s="5">
        <f>COUNTIF(Réponses!$B94:$U94,"="&amp;Q$1)/$B$103</f>
        <v>0</v>
      </c>
      <c r="R95" s="5">
        <f>COUNTIF(Réponses!$B94:$U94,"="&amp;R$1)/$B$103</f>
        <v>0</v>
      </c>
      <c r="S95" s="5">
        <f>COUNTIF(Réponses!$B94:$U94,"="&amp;S$1)/$B$103</f>
        <v>0</v>
      </c>
      <c r="T95" s="5">
        <f>COUNTIF(Réponses!$B94:$U94,"="&amp;T$1)/$B$103</f>
        <v>0</v>
      </c>
      <c r="U95" s="5">
        <f>COUNTIF(Réponses!$B94:$U94,"="&amp;U$1)/$B$103</f>
        <v>0</v>
      </c>
      <c r="V95" s="5">
        <f>COUNTIF(Réponses!$B94:$U94,"="&amp;V$1)/$B$103</f>
        <v>0</v>
      </c>
    </row>
    <row r="96" spans="1:22" x14ac:dyDescent="0.25">
      <c r="A96" s="1">
        <v>94</v>
      </c>
      <c r="B96" s="1">
        <f>INDEX(Cartes!$C$2:$C$101,MATCH($A96,Cartes!$A$2:$A$101,0))</f>
        <v>16</v>
      </c>
      <c r="C96" s="5">
        <f>COUNTIF(Réponses!$B95:$U95,"="&amp;C$1)/$B$103</f>
        <v>0</v>
      </c>
      <c r="D96" s="5">
        <f>COUNTIF(Réponses!$B95:$U95,"="&amp;D$1)/$B$103</f>
        <v>0</v>
      </c>
      <c r="E96" s="5">
        <f>COUNTIF(Réponses!$B95:$U95,"="&amp;E$1)/$B$103</f>
        <v>0</v>
      </c>
      <c r="F96" s="5">
        <f>COUNTIF(Réponses!$B95:$U95,"="&amp;F$1)/$B$103</f>
        <v>0</v>
      </c>
      <c r="G96" s="5">
        <f>COUNTIF(Réponses!$B95:$U95,"="&amp;G$1)/$B$103</f>
        <v>0</v>
      </c>
      <c r="H96" s="5">
        <f>COUNTIF(Réponses!$B95:$U95,"="&amp;H$1)/$B$103</f>
        <v>0</v>
      </c>
      <c r="I96" s="5">
        <f>COUNTIF(Réponses!$B95:$U95,"="&amp;I$1)/$B$103</f>
        <v>0</v>
      </c>
      <c r="J96" s="5">
        <f>COUNTIF(Réponses!$B95:$U95,"="&amp;J$1)/$B$103</f>
        <v>0</v>
      </c>
      <c r="K96" s="5">
        <f>COUNTIF(Réponses!$B95:$U95,"="&amp;K$1)/$B$103</f>
        <v>0</v>
      </c>
      <c r="L96" s="5">
        <f>COUNTIF(Réponses!$B95:$U95,"="&amp;L$1)/$B$103</f>
        <v>0</v>
      </c>
      <c r="M96" s="5">
        <f>COUNTIF(Réponses!$B95:$U95,"="&amp;M$1)/$B$103</f>
        <v>0</v>
      </c>
      <c r="N96" s="5">
        <f>COUNTIF(Réponses!$B95:$U95,"="&amp;N$1)/$B$103</f>
        <v>0</v>
      </c>
      <c r="O96" s="5">
        <f>COUNTIF(Réponses!$B95:$U95,"="&amp;O$1)/$B$103</f>
        <v>0</v>
      </c>
      <c r="P96" s="5">
        <f>COUNTIF(Réponses!$B95:$U95,"="&amp;P$1)/$B$103</f>
        <v>0</v>
      </c>
      <c r="Q96" s="5">
        <f>COUNTIF(Réponses!$B95:$U95,"="&amp;Q$1)/$B$103</f>
        <v>0</v>
      </c>
      <c r="R96" s="5">
        <f>COUNTIF(Réponses!$B95:$U95,"="&amp;R$1)/$B$103</f>
        <v>1</v>
      </c>
      <c r="S96" s="5">
        <f>COUNTIF(Réponses!$B95:$U95,"="&amp;S$1)/$B$103</f>
        <v>0</v>
      </c>
      <c r="T96" s="5">
        <f>COUNTIF(Réponses!$B95:$U95,"="&amp;T$1)/$B$103</f>
        <v>0</v>
      </c>
      <c r="U96" s="5">
        <f>COUNTIF(Réponses!$B95:$U95,"="&amp;U$1)/$B$103</f>
        <v>0</v>
      </c>
      <c r="V96" s="5">
        <f>COUNTIF(Réponses!$B95:$U95,"="&amp;V$1)/$B$103</f>
        <v>0</v>
      </c>
    </row>
    <row r="97" spans="1:22" x14ac:dyDescent="0.25">
      <c r="A97" s="1">
        <v>95</v>
      </c>
      <c r="B97" s="1">
        <f>INDEX(Cartes!$C$2:$C$101,MATCH($A97,Cartes!$A$2:$A$101,0))</f>
        <v>17</v>
      </c>
      <c r="C97" s="5">
        <f>COUNTIF(Réponses!$B96:$U96,"="&amp;C$1)/$B$103</f>
        <v>0</v>
      </c>
      <c r="D97" s="5">
        <f>COUNTIF(Réponses!$B96:$U96,"="&amp;D$1)/$B$103</f>
        <v>0</v>
      </c>
      <c r="E97" s="5">
        <f>COUNTIF(Réponses!$B96:$U96,"="&amp;E$1)/$B$103</f>
        <v>0</v>
      </c>
      <c r="F97" s="5">
        <f>COUNTIF(Réponses!$B96:$U96,"="&amp;F$1)/$B$103</f>
        <v>0</v>
      </c>
      <c r="G97" s="5">
        <f>COUNTIF(Réponses!$B96:$U96,"="&amp;G$1)/$B$103</f>
        <v>0</v>
      </c>
      <c r="H97" s="5">
        <f>COUNTIF(Réponses!$B96:$U96,"="&amp;H$1)/$B$103</f>
        <v>0</v>
      </c>
      <c r="I97" s="5">
        <f>COUNTIF(Réponses!$B96:$U96,"="&amp;I$1)/$B$103</f>
        <v>0</v>
      </c>
      <c r="J97" s="5">
        <f>COUNTIF(Réponses!$B96:$U96,"="&amp;J$1)/$B$103</f>
        <v>0</v>
      </c>
      <c r="K97" s="5">
        <f>COUNTIF(Réponses!$B96:$U96,"="&amp;K$1)/$B$103</f>
        <v>0</v>
      </c>
      <c r="L97" s="5">
        <f>COUNTIF(Réponses!$B96:$U96,"="&amp;L$1)/$B$103</f>
        <v>0</v>
      </c>
      <c r="M97" s="5">
        <f>COUNTIF(Réponses!$B96:$U96,"="&amp;M$1)/$B$103</f>
        <v>0</v>
      </c>
      <c r="N97" s="5">
        <f>COUNTIF(Réponses!$B96:$U96,"="&amp;N$1)/$B$103</f>
        <v>0</v>
      </c>
      <c r="O97" s="5">
        <f>COUNTIF(Réponses!$B96:$U96,"="&amp;O$1)/$B$103</f>
        <v>0</v>
      </c>
      <c r="P97" s="5">
        <f>COUNTIF(Réponses!$B96:$U96,"="&amp;P$1)/$B$103</f>
        <v>0</v>
      </c>
      <c r="Q97" s="5">
        <f>COUNTIF(Réponses!$B96:$U96,"="&amp;Q$1)/$B$103</f>
        <v>0</v>
      </c>
      <c r="R97" s="5">
        <f>COUNTIF(Réponses!$B96:$U96,"="&amp;R$1)/$B$103</f>
        <v>0</v>
      </c>
      <c r="S97" s="5">
        <f>COUNTIF(Réponses!$B96:$U96,"="&amp;S$1)/$B$103</f>
        <v>1</v>
      </c>
      <c r="T97" s="5">
        <f>COUNTIF(Réponses!$B96:$U96,"="&amp;T$1)/$B$103</f>
        <v>0</v>
      </c>
      <c r="U97" s="5">
        <f>COUNTIF(Réponses!$B96:$U96,"="&amp;U$1)/$B$103</f>
        <v>0</v>
      </c>
      <c r="V97" s="5">
        <f>COUNTIF(Réponses!$B96:$U96,"="&amp;V$1)/$B$103</f>
        <v>0</v>
      </c>
    </row>
    <row r="98" spans="1:22" x14ac:dyDescent="0.25">
      <c r="A98" s="1">
        <v>96</v>
      </c>
      <c r="B98" s="1">
        <f>INDEX(Cartes!$C$2:$C$101,MATCH($A98,Cartes!$A$2:$A$101,0))</f>
        <v>20</v>
      </c>
      <c r="C98" s="5">
        <f>COUNTIF(Réponses!$B97:$U97,"="&amp;C$1)/$B$103</f>
        <v>0</v>
      </c>
      <c r="D98" s="5">
        <f>COUNTIF(Réponses!$B97:$U97,"="&amp;D$1)/$B$103</f>
        <v>0</v>
      </c>
      <c r="E98" s="5">
        <f>COUNTIF(Réponses!$B97:$U97,"="&amp;E$1)/$B$103</f>
        <v>0</v>
      </c>
      <c r="F98" s="5">
        <f>COUNTIF(Réponses!$B97:$U97,"="&amp;F$1)/$B$103</f>
        <v>0</v>
      </c>
      <c r="G98" s="5">
        <f>COUNTIF(Réponses!$B97:$U97,"="&amp;G$1)/$B$103</f>
        <v>0</v>
      </c>
      <c r="H98" s="5">
        <f>COUNTIF(Réponses!$B97:$U97,"="&amp;H$1)/$B$103</f>
        <v>0</v>
      </c>
      <c r="I98" s="5">
        <f>COUNTIF(Réponses!$B97:$U97,"="&amp;I$1)/$B$103</f>
        <v>0</v>
      </c>
      <c r="J98" s="5">
        <f>COUNTIF(Réponses!$B97:$U97,"="&amp;J$1)/$B$103</f>
        <v>0</v>
      </c>
      <c r="K98" s="5">
        <f>COUNTIF(Réponses!$B97:$U97,"="&amp;K$1)/$B$103</f>
        <v>0</v>
      </c>
      <c r="L98" s="5">
        <f>COUNTIF(Réponses!$B97:$U97,"="&amp;L$1)/$B$103</f>
        <v>0</v>
      </c>
      <c r="M98" s="5">
        <f>COUNTIF(Réponses!$B97:$U97,"="&amp;M$1)/$B$103</f>
        <v>0</v>
      </c>
      <c r="N98" s="5">
        <f>COUNTIF(Réponses!$B97:$U97,"="&amp;N$1)/$B$103</f>
        <v>0</v>
      </c>
      <c r="O98" s="5">
        <f>COUNTIF(Réponses!$B97:$U97,"="&amp;O$1)/$B$103</f>
        <v>0</v>
      </c>
      <c r="P98" s="5">
        <f>COUNTIF(Réponses!$B97:$U97,"="&amp;P$1)/$B$103</f>
        <v>0</v>
      </c>
      <c r="Q98" s="5">
        <f>COUNTIF(Réponses!$B97:$U97,"="&amp;Q$1)/$B$103</f>
        <v>0</v>
      </c>
      <c r="R98" s="5">
        <f>COUNTIF(Réponses!$B97:$U97,"="&amp;R$1)/$B$103</f>
        <v>0</v>
      </c>
      <c r="S98" s="5">
        <f>COUNTIF(Réponses!$B97:$U97,"="&amp;S$1)/$B$103</f>
        <v>0</v>
      </c>
      <c r="T98" s="5">
        <f>COUNTIF(Réponses!$B97:$U97,"="&amp;T$1)/$B$103</f>
        <v>0</v>
      </c>
      <c r="U98" s="5">
        <f>COUNTIF(Réponses!$B97:$U97,"="&amp;U$1)/$B$103</f>
        <v>0</v>
      </c>
      <c r="V98" s="5">
        <f>COUNTIF(Réponses!$B97:$U97,"="&amp;V$1)/$B$103</f>
        <v>1</v>
      </c>
    </row>
    <row r="99" spans="1:22" x14ac:dyDescent="0.25">
      <c r="A99" s="1">
        <v>97</v>
      </c>
      <c r="B99" s="1">
        <f>INDEX(Cartes!$C$2:$C$101,MATCH($A99,Cartes!$A$2:$A$101,0))</f>
        <v>7</v>
      </c>
      <c r="C99" s="5">
        <f>COUNTIF(Réponses!$B98:$U98,"="&amp;C$1)/$B$103</f>
        <v>0</v>
      </c>
      <c r="D99" s="5">
        <f>COUNTIF(Réponses!$B98:$U98,"="&amp;D$1)/$B$103</f>
        <v>0</v>
      </c>
      <c r="E99" s="5">
        <f>COUNTIF(Réponses!$B98:$U98,"="&amp;E$1)/$B$103</f>
        <v>0</v>
      </c>
      <c r="F99" s="5">
        <f>COUNTIF(Réponses!$B98:$U98,"="&amp;F$1)/$B$103</f>
        <v>0</v>
      </c>
      <c r="G99" s="5">
        <f>COUNTIF(Réponses!$B98:$U98,"="&amp;G$1)/$B$103</f>
        <v>0</v>
      </c>
      <c r="H99" s="5">
        <f>COUNTIF(Réponses!$B98:$U98,"="&amp;H$1)/$B$103</f>
        <v>0</v>
      </c>
      <c r="I99" s="5">
        <f>COUNTIF(Réponses!$B98:$U98,"="&amp;I$1)/$B$103</f>
        <v>1</v>
      </c>
      <c r="J99" s="5">
        <f>COUNTIF(Réponses!$B98:$U98,"="&amp;J$1)/$B$103</f>
        <v>0</v>
      </c>
      <c r="K99" s="5">
        <f>COUNTIF(Réponses!$B98:$U98,"="&amp;K$1)/$B$103</f>
        <v>0</v>
      </c>
      <c r="L99" s="5">
        <f>COUNTIF(Réponses!$B98:$U98,"="&amp;L$1)/$B$103</f>
        <v>0</v>
      </c>
      <c r="M99" s="5">
        <f>COUNTIF(Réponses!$B98:$U98,"="&amp;M$1)/$B$103</f>
        <v>0</v>
      </c>
      <c r="N99" s="5">
        <f>COUNTIF(Réponses!$B98:$U98,"="&amp;N$1)/$B$103</f>
        <v>0</v>
      </c>
      <c r="O99" s="5">
        <f>COUNTIF(Réponses!$B98:$U98,"="&amp;O$1)/$B$103</f>
        <v>0</v>
      </c>
      <c r="P99" s="5">
        <f>COUNTIF(Réponses!$B98:$U98,"="&amp;P$1)/$B$103</f>
        <v>0</v>
      </c>
      <c r="Q99" s="5">
        <f>COUNTIF(Réponses!$B98:$U98,"="&amp;Q$1)/$B$103</f>
        <v>0</v>
      </c>
      <c r="R99" s="5">
        <f>COUNTIF(Réponses!$B98:$U98,"="&amp;R$1)/$B$103</f>
        <v>0</v>
      </c>
      <c r="S99" s="5">
        <f>COUNTIF(Réponses!$B98:$U98,"="&amp;S$1)/$B$103</f>
        <v>0</v>
      </c>
      <c r="T99" s="5">
        <f>COUNTIF(Réponses!$B98:$U98,"="&amp;T$1)/$B$103</f>
        <v>0</v>
      </c>
      <c r="U99" s="5">
        <f>COUNTIF(Réponses!$B98:$U98,"="&amp;U$1)/$B$103</f>
        <v>0</v>
      </c>
      <c r="V99" s="5">
        <f>COUNTIF(Réponses!$B98:$U98,"="&amp;V$1)/$B$103</f>
        <v>0</v>
      </c>
    </row>
    <row r="100" spans="1:22" x14ac:dyDescent="0.25">
      <c r="A100" s="1">
        <v>98</v>
      </c>
      <c r="B100" s="1">
        <f>INDEX(Cartes!$C$2:$C$101,MATCH($A100,Cartes!$A$2:$A$101,0))</f>
        <v>15</v>
      </c>
      <c r="C100" s="5">
        <f>COUNTIF(Réponses!$B99:$U99,"="&amp;C$1)/$B$103</f>
        <v>0</v>
      </c>
      <c r="D100" s="5">
        <f>COUNTIF(Réponses!$B99:$U99,"="&amp;D$1)/$B$103</f>
        <v>0</v>
      </c>
      <c r="E100" s="5">
        <f>COUNTIF(Réponses!$B99:$U99,"="&amp;E$1)/$B$103</f>
        <v>0</v>
      </c>
      <c r="F100" s="5">
        <f>COUNTIF(Réponses!$B99:$U99,"="&amp;F$1)/$B$103</f>
        <v>0</v>
      </c>
      <c r="G100" s="5">
        <f>COUNTIF(Réponses!$B99:$U99,"="&amp;G$1)/$B$103</f>
        <v>0</v>
      </c>
      <c r="H100" s="5">
        <f>COUNTIF(Réponses!$B99:$U99,"="&amp;H$1)/$B$103</f>
        <v>0</v>
      </c>
      <c r="I100" s="5">
        <f>COUNTIF(Réponses!$B99:$U99,"="&amp;I$1)/$B$103</f>
        <v>0</v>
      </c>
      <c r="J100" s="5">
        <f>COUNTIF(Réponses!$B99:$U99,"="&amp;J$1)/$B$103</f>
        <v>0</v>
      </c>
      <c r="K100" s="5">
        <f>COUNTIF(Réponses!$B99:$U99,"="&amp;K$1)/$B$103</f>
        <v>0</v>
      </c>
      <c r="L100" s="5">
        <f>COUNTIF(Réponses!$B99:$U99,"="&amp;L$1)/$B$103</f>
        <v>0</v>
      </c>
      <c r="M100" s="5">
        <f>COUNTIF(Réponses!$B99:$U99,"="&amp;M$1)/$B$103</f>
        <v>0</v>
      </c>
      <c r="N100" s="5">
        <f>COUNTIF(Réponses!$B99:$U99,"="&amp;N$1)/$B$103</f>
        <v>0</v>
      </c>
      <c r="O100" s="5">
        <f>COUNTIF(Réponses!$B99:$U99,"="&amp;O$1)/$B$103</f>
        <v>0</v>
      </c>
      <c r="P100" s="5">
        <f>COUNTIF(Réponses!$B99:$U99,"="&amp;P$1)/$B$103</f>
        <v>0</v>
      </c>
      <c r="Q100" s="5">
        <f>COUNTIF(Réponses!$B99:$U99,"="&amp;Q$1)/$B$103</f>
        <v>1</v>
      </c>
      <c r="R100" s="5">
        <f>COUNTIF(Réponses!$B99:$U99,"="&amp;R$1)/$B$103</f>
        <v>0</v>
      </c>
      <c r="S100" s="5">
        <f>COUNTIF(Réponses!$B99:$U99,"="&amp;S$1)/$B$103</f>
        <v>0</v>
      </c>
      <c r="T100" s="5">
        <f>COUNTIF(Réponses!$B99:$U99,"="&amp;T$1)/$B$103</f>
        <v>0</v>
      </c>
      <c r="U100" s="5">
        <f>COUNTIF(Réponses!$B99:$U99,"="&amp;U$1)/$B$103</f>
        <v>0</v>
      </c>
      <c r="V100" s="5">
        <f>COUNTIF(Réponses!$B99:$U99,"="&amp;V$1)/$B$103</f>
        <v>0</v>
      </c>
    </row>
    <row r="101" spans="1:22" x14ac:dyDescent="0.25">
      <c r="A101" s="1">
        <v>99</v>
      </c>
      <c r="B101" s="1">
        <f>INDEX(Cartes!$C$2:$C$101,MATCH($A101,Cartes!$A$2:$A$101,0))</f>
        <v>10</v>
      </c>
      <c r="C101" s="5">
        <f>COUNTIF(Réponses!$B100:$U100,"="&amp;C$1)/$B$103</f>
        <v>0</v>
      </c>
      <c r="D101" s="5">
        <f>COUNTIF(Réponses!$B100:$U100,"="&amp;D$1)/$B$103</f>
        <v>0</v>
      </c>
      <c r="E101" s="5">
        <f>COUNTIF(Réponses!$B100:$U100,"="&amp;E$1)/$B$103</f>
        <v>0</v>
      </c>
      <c r="F101" s="5">
        <f>COUNTIF(Réponses!$B100:$U100,"="&amp;F$1)/$B$103</f>
        <v>0</v>
      </c>
      <c r="G101" s="5">
        <f>COUNTIF(Réponses!$B100:$U100,"="&amp;G$1)/$B$103</f>
        <v>0</v>
      </c>
      <c r="H101" s="5">
        <f>COUNTIF(Réponses!$B100:$U100,"="&amp;H$1)/$B$103</f>
        <v>0</v>
      </c>
      <c r="I101" s="5">
        <f>COUNTIF(Réponses!$B100:$U100,"="&amp;I$1)/$B$103</f>
        <v>0</v>
      </c>
      <c r="J101" s="5">
        <f>COUNTIF(Réponses!$B100:$U100,"="&amp;J$1)/$B$103</f>
        <v>0</v>
      </c>
      <c r="K101" s="5">
        <f>COUNTIF(Réponses!$B100:$U100,"="&amp;K$1)/$B$103</f>
        <v>0</v>
      </c>
      <c r="L101" s="5">
        <f>COUNTIF(Réponses!$B100:$U100,"="&amp;L$1)/$B$103</f>
        <v>1</v>
      </c>
      <c r="M101" s="5">
        <f>COUNTIF(Réponses!$B100:$U100,"="&amp;M$1)/$B$103</f>
        <v>0</v>
      </c>
      <c r="N101" s="5">
        <f>COUNTIF(Réponses!$B100:$U100,"="&amp;N$1)/$B$103</f>
        <v>0</v>
      </c>
      <c r="O101" s="5">
        <f>COUNTIF(Réponses!$B100:$U100,"="&amp;O$1)/$B$103</f>
        <v>0</v>
      </c>
      <c r="P101" s="5">
        <f>COUNTIF(Réponses!$B100:$U100,"="&amp;P$1)/$B$103</f>
        <v>0</v>
      </c>
      <c r="Q101" s="5">
        <f>COUNTIF(Réponses!$B100:$U100,"="&amp;Q$1)/$B$103</f>
        <v>0</v>
      </c>
      <c r="R101" s="5">
        <f>COUNTIF(Réponses!$B100:$U100,"="&amp;R$1)/$B$103</f>
        <v>0</v>
      </c>
      <c r="S101" s="5">
        <f>COUNTIF(Réponses!$B100:$U100,"="&amp;S$1)/$B$103</f>
        <v>0</v>
      </c>
      <c r="T101" s="5">
        <f>COUNTIF(Réponses!$B100:$U100,"="&amp;T$1)/$B$103</f>
        <v>0</v>
      </c>
      <c r="U101" s="5">
        <f>COUNTIF(Réponses!$B100:$U100,"="&amp;U$1)/$B$103</f>
        <v>0</v>
      </c>
      <c r="V101" s="5">
        <f>COUNTIF(Réponses!$B100:$U100,"="&amp;V$1)/$B$103</f>
        <v>0</v>
      </c>
    </row>
    <row r="102" spans="1:22" x14ac:dyDescent="0.25">
      <c r="A102" s="1">
        <v>100</v>
      </c>
      <c r="B102" s="1">
        <f>INDEX(Cartes!$C$2:$C$101,MATCH($A102,Cartes!$A$2:$A$101,0))</f>
        <v>17</v>
      </c>
      <c r="C102" s="5">
        <f>COUNTIF(Réponses!$B101:$U101,"="&amp;C$1)/$B$103</f>
        <v>0</v>
      </c>
      <c r="D102" s="5">
        <f>COUNTIF(Réponses!$B101:$U101,"="&amp;D$1)/$B$103</f>
        <v>0</v>
      </c>
      <c r="E102" s="5">
        <f>COUNTIF(Réponses!$B101:$U101,"="&amp;E$1)/$B$103</f>
        <v>0</v>
      </c>
      <c r="F102" s="5">
        <f>COUNTIF(Réponses!$B101:$U101,"="&amp;F$1)/$B$103</f>
        <v>0</v>
      </c>
      <c r="G102" s="5">
        <f>COUNTIF(Réponses!$B101:$U101,"="&amp;G$1)/$B$103</f>
        <v>0</v>
      </c>
      <c r="H102" s="5">
        <f>COUNTIF(Réponses!$B101:$U101,"="&amp;H$1)/$B$103</f>
        <v>0</v>
      </c>
      <c r="I102" s="5">
        <f>COUNTIF(Réponses!$B101:$U101,"="&amp;I$1)/$B$103</f>
        <v>0</v>
      </c>
      <c r="J102" s="5">
        <f>COUNTIF(Réponses!$B101:$U101,"="&amp;J$1)/$B$103</f>
        <v>0</v>
      </c>
      <c r="K102" s="5">
        <f>COUNTIF(Réponses!$B101:$U101,"="&amp;K$1)/$B$103</f>
        <v>0</v>
      </c>
      <c r="L102" s="5">
        <f>COUNTIF(Réponses!$B101:$U101,"="&amp;L$1)/$B$103</f>
        <v>0</v>
      </c>
      <c r="M102" s="5">
        <f>COUNTIF(Réponses!$B101:$U101,"="&amp;M$1)/$B$103</f>
        <v>0</v>
      </c>
      <c r="N102" s="5">
        <f>COUNTIF(Réponses!$B101:$U101,"="&amp;N$1)/$B$103</f>
        <v>0</v>
      </c>
      <c r="O102" s="5">
        <f>COUNTIF(Réponses!$B101:$U101,"="&amp;O$1)/$B$103</f>
        <v>0</v>
      </c>
      <c r="P102" s="5">
        <f>COUNTIF(Réponses!$B101:$U101,"="&amp;P$1)/$B$103</f>
        <v>0</v>
      </c>
      <c r="Q102" s="5">
        <f>COUNTIF(Réponses!$B101:$U101,"="&amp;Q$1)/$B$103</f>
        <v>0</v>
      </c>
      <c r="R102" s="5">
        <f>COUNTIF(Réponses!$B101:$U101,"="&amp;R$1)/$B$103</f>
        <v>0</v>
      </c>
      <c r="S102" s="5">
        <f>COUNTIF(Réponses!$B101:$U101,"="&amp;S$1)/$B$103</f>
        <v>1</v>
      </c>
      <c r="T102" s="5">
        <f>COUNTIF(Réponses!$B101:$U101,"="&amp;T$1)/$B$103</f>
        <v>0</v>
      </c>
      <c r="U102" s="5">
        <f>COUNTIF(Réponses!$B101:$U101,"="&amp;U$1)/$B$103</f>
        <v>0</v>
      </c>
      <c r="V102" s="5">
        <f>COUNTIF(Réponses!$B101:$U101,"="&amp;V$1)/$B$103</f>
        <v>0</v>
      </c>
    </row>
    <row r="103" spans="1:22" x14ac:dyDescent="0.25">
      <c r="A103" s="1"/>
      <c r="B103" s="1">
        <f>COUNTA(Réponses!B2:U2)</f>
        <v>20</v>
      </c>
      <c r="C103" s="5">
        <f>AVERAGEIF($B$3:$B$102, C$1, C$3:C$102)</f>
        <v>0.98333333333333339</v>
      </c>
      <c r="D103" s="5">
        <f t="shared" ref="D103:V103" si="0">AVERAGEIF($B$3:$B$102, D$1, D$3:D$102)</f>
        <v>1</v>
      </c>
      <c r="E103" s="5">
        <f t="shared" si="0"/>
        <v>1</v>
      </c>
      <c r="F103" s="5">
        <f t="shared" si="0"/>
        <v>0.98750000000000004</v>
      </c>
      <c r="G103" s="5">
        <f t="shared" si="0"/>
        <v>1</v>
      </c>
      <c r="H103" s="5">
        <f t="shared" si="0"/>
        <v>1</v>
      </c>
      <c r="I103" s="5">
        <f t="shared" si="0"/>
        <v>0.97499999999999998</v>
      </c>
      <c r="J103" s="5">
        <f t="shared" si="0"/>
        <v>0.88571428571428579</v>
      </c>
      <c r="K103" s="5">
        <f t="shared" si="0"/>
        <v>1</v>
      </c>
      <c r="L103" s="5">
        <f t="shared" si="0"/>
        <v>1</v>
      </c>
      <c r="M103" s="5">
        <f t="shared" si="0"/>
        <v>0.96666666666666667</v>
      </c>
      <c r="N103" s="5">
        <f t="shared" si="0"/>
        <v>1</v>
      </c>
      <c r="O103" s="5">
        <f t="shared" si="0"/>
        <v>0.98000000000000009</v>
      </c>
      <c r="P103" s="5">
        <f t="shared" si="0"/>
        <v>0.74285714285714288</v>
      </c>
      <c r="Q103" s="5">
        <f t="shared" si="0"/>
        <v>1</v>
      </c>
      <c r="R103" s="5">
        <f t="shared" si="0"/>
        <v>1</v>
      </c>
      <c r="S103" s="5">
        <f t="shared" si="0"/>
        <v>1</v>
      </c>
      <c r="T103" s="5">
        <f t="shared" si="0"/>
        <v>1</v>
      </c>
      <c r="U103" s="5">
        <f t="shared" si="0"/>
        <v>0.99375000000000002</v>
      </c>
      <c r="V103" s="5">
        <f t="shared" si="0"/>
        <v>1</v>
      </c>
    </row>
  </sheetData>
  <conditionalFormatting sqref="A3:A102">
    <cfRule type="expression" dxfId="8" priority="8">
      <formula>INDEX(C3:V3,MATCH($B3,C$1:V$1,0))&lt;0.75</formula>
    </cfRule>
  </conditionalFormatting>
  <conditionalFormatting sqref="C3:V103">
    <cfRule type="expression" dxfId="7" priority="1">
      <formula>AND(C$1=$B3,C3&gt;=0.75)</formula>
    </cfRule>
    <cfRule type="expression" dxfId="6" priority="4">
      <formula>AND(C$1=$B3,C3&gt;=0.5,C3&lt;0.75)</formula>
    </cfRule>
    <cfRule type="expression" dxfId="5" priority="5">
      <formula>AND(C$1=$B3,C3&lt;0.5)</formula>
    </cfRule>
    <cfRule type="expression" dxfId="4" priority="9">
      <formula>$B3=C$1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8ABE-79CC-4456-80BC-7DB29134808C}">
  <dimension ref="A1:W21"/>
  <sheetViews>
    <sheetView workbookViewId="0">
      <selection activeCell="O24" sqref="O24"/>
    </sheetView>
  </sheetViews>
  <sheetFormatPr baseColWidth="10" defaultRowHeight="15" x14ac:dyDescent="0.25"/>
  <cols>
    <col min="1" max="1" width="15.7109375" customWidth="1"/>
    <col min="2" max="2" width="38.7109375" customWidth="1"/>
    <col min="3" max="3" width="26.140625" customWidth="1"/>
  </cols>
  <sheetData>
    <row r="1" spans="1:23" x14ac:dyDescent="0.25">
      <c r="A1" s="1"/>
      <c r="B1" s="2" t="s">
        <v>0</v>
      </c>
      <c r="C1" s="2" t="s">
        <v>145</v>
      </c>
      <c r="D1" s="1" cm="1">
        <f t="array" ref="D1:W1">TRANSPOSE(A2:A21)</f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3" x14ac:dyDescent="0.25">
      <c r="A2" s="1">
        <v>1</v>
      </c>
      <c r="B2" s="1" t="s">
        <v>1</v>
      </c>
      <c r="C2" s="6" cm="1">
        <f t="array" ref="C2:C21">TRANSPOSE('Analyse du classement'!C103:V103)</f>
        <v>0.98333333333333339</v>
      </c>
      <c r="D2" s="5">
        <f>AVERAGEIF('Analyse du classement'!$B$3:$B$102, $A2, 'Analyse du classement'!C$3:C$102)</f>
        <v>0.98333333333333339</v>
      </c>
      <c r="E2" s="5">
        <f>AVERAGEIF('Analyse du classement'!$B$3:$B$102, $A2, 'Analyse du classement'!D$3:D$102)</f>
        <v>0</v>
      </c>
      <c r="F2" s="5">
        <f>AVERAGEIF('Analyse du classement'!$B$3:$B$102, $A2, 'Analyse du classement'!E$3:E$102)</f>
        <v>0</v>
      </c>
      <c r="G2" s="5">
        <f>AVERAGEIF('Analyse du classement'!$B$3:$B$102, $A2, 'Analyse du classement'!F$3:F$102)</f>
        <v>8.3333333333333332E-3</v>
      </c>
      <c r="H2" s="5">
        <f>AVERAGEIF('Analyse du classement'!$B$3:$B$102, $A2, 'Analyse du classement'!G$3:G$102)</f>
        <v>0</v>
      </c>
      <c r="I2" s="5">
        <f>AVERAGEIF('Analyse du classement'!$B$3:$B$102, $A2, 'Analyse du classement'!H$3:H$102)</f>
        <v>0</v>
      </c>
      <c r="J2" s="5">
        <f>AVERAGEIF('Analyse du classement'!$B$3:$B$102, $A2, 'Analyse du classement'!I$3:I$102)</f>
        <v>8.3333333333333332E-3</v>
      </c>
      <c r="K2" s="5">
        <f>AVERAGEIF('Analyse du classement'!$B$3:$B$102, $A2, 'Analyse du classement'!J$3:J$102)</f>
        <v>0</v>
      </c>
      <c r="L2" s="5">
        <f>AVERAGEIF('Analyse du classement'!$B$3:$B$102, $A2, 'Analyse du classement'!K$3:K$102)</f>
        <v>0</v>
      </c>
      <c r="M2" s="5">
        <f>AVERAGEIF('Analyse du classement'!$B$3:$B$102, $A2, 'Analyse du classement'!L$3:L$102)</f>
        <v>0</v>
      </c>
      <c r="N2" s="5">
        <f>AVERAGEIF('Analyse du classement'!$B$3:$B$102, $A2, 'Analyse du classement'!M$3:M$102)</f>
        <v>0</v>
      </c>
      <c r="O2" s="5">
        <f>AVERAGEIF('Analyse du classement'!$B$3:$B$102, $A2, 'Analyse du classement'!N$3:N$102)</f>
        <v>0</v>
      </c>
      <c r="P2" s="5">
        <f>AVERAGEIF('Analyse du classement'!$B$3:$B$102, $A2, 'Analyse du classement'!O$3:O$102)</f>
        <v>0</v>
      </c>
      <c r="Q2" s="5">
        <f>AVERAGEIF('Analyse du classement'!$B$3:$B$102, $A2, 'Analyse du classement'!P$3:P$102)</f>
        <v>0</v>
      </c>
      <c r="R2" s="5">
        <f>AVERAGEIF('Analyse du classement'!$B$3:$B$102, $A2, 'Analyse du classement'!Q$3:Q$102)</f>
        <v>0</v>
      </c>
      <c r="S2" s="5">
        <f>AVERAGEIF('Analyse du classement'!$B$3:$B$102, $A2, 'Analyse du classement'!R$3:R$102)</f>
        <v>0</v>
      </c>
      <c r="T2" s="5">
        <f>AVERAGEIF('Analyse du classement'!$B$3:$B$102, $A2, 'Analyse du classement'!S$3:S$102)</f>
        <v>0</v>
      </c>
      <c r="U2" s="5">
        <f>AVERAGEIF('Analyse du classement'!$B$3:$B$102, $A2, 'Analyse du classement'!T$3:T$102)</f>
        <v>0</v>
      </c>
      <c r="V2" s="5">
        <f>AVERAGEIF('Analyse du classement'!$B$3:$B$102, $A2, 'Analyse du classement'!U$3:U$102)</f>
        <v>0</v>
      </c>
      <c r="W2" s="5">
        <f>AVERAGEIF('Analyse du classement'!$B$3:$B$102, $A2, 'Analyse du classement'!V$3:V$102)</f>
        <v>0</v>
      </c>
    </row>
    <row r="3" spans="1:23" x14ac:dyDescent="0.25">
      <c r="A3" s="1">
        <v>2</v>
      </c>
      <c r="B3" s="1" t="s">
        <v>2</v>
      </c>
      <c r="C3" s="6">
        <v>1</v>
      </c>
      <c r="D3" s="5">
        <f>AVERAGEIF('Analyse du classement'!$B$3:$B$102, $A3, 'Analyse du classement'!C$3:C$102)</f>
        <v>0</v>
      </c>
      <c r="E3" s="5">
        <f>AVERAGEIF('Analyse du classement'!$B$3:$B$102, $A3, 'Analyse du classement'!D$3:D$102)</f>
        <v>1</v>
      </c>
      <c r="F3" s="5">
        <f>AVERAGEIF('Analyse du classement'!$B$3:$B$102, $A3, 'Analyse du classement'!E$3:E$102)</f>
        <v>0</v>
      </c>
      <c r="G3" s="5">
        <f>AVERAGEIF('Analyse du classement'!$B$3:$B$102, $A3, 'Analyse du classement'!F$3:F$102)</f>
        <v>0</v>
      </c>
      <c r="H3" s="5">
        <f>AVERAGEIF('Analyse du classement'!$B$3:$B$102, $A3, 'Analyse du classement'!G$3:G$102)</f>
        <v>0</v>
      </c>
      <c r="I3" s="5">
        <f>AVERAGEIF('Analyse du classement'!$B$3:$B$102, $A3, 'Analyse du classement'!H$3:H$102)</f>
        <v>0</v>
      </c>
      <c r="J3" s="5">
        <f>AVERAGEIF('Analyse du classement'!$B$3:$B$102, $A3, 'Analyse du classement'!I$3:I$102)</f>
        <v>0</v>
      </c>
      <c r="K3" s="5">
        <f>AVERAGEIF('Analyse du classement'!$B$3:$B$102, $A3, 'Analyse du classement'!J$3:J$102)</f>
        <v>0</v>
      </c>
      <c r="L3" s="5">
        <f>AVERAGEIF('Analyse du classement'!$B$3:$B$102, $A3, 'Analyse du classement'!K$3:K$102)</f>
        <v>0</v>
      </c>
      <c r="M3" s="5">
        <f>AVERAGEIF('Analyse du classement'!$B$3:$B$102, $A3, 'Analyse du classement'!L$3:L$102)</f>
        <v>0</v>
      </c>
      <c r="N3" s="5">
        <f>AVERAGEIF('Analyse du classement'!$B$3:$B$102, $A3, 'Analyse du classement'!M$3:M$102)</f>
        <v>0</v>
      </c>
      <c r="O3" s="5">
        <f>AVERAGEIF('Analyse du classement'!$B$3:$B$102, $A3, 'Analyse du classement'!N$3:N$102)</f>
        <v>0</v>
      </c>
      <c r="P3" s="5">
        <f>AVERAGEIF('Analyse du classement'!$B$3:$B$102, $A3, 'Analyse du classement'!O$3:O$102)</f>
        <v>0</v>
      </c>
      <c r="Q3" s="5">
        <f>AVERAGEIF('Analyse du classement'!$B$3:$B$102, $A3, 'Analyse du classement'!P$3:P$102)</f>
        <v>0</v>
      </c>
      <c r="R3" s="5">
        <f>AVERAGEIF('Analyse du classement'!$B$3:$B$102, $A3, 'Analyse du classement'!Q$3:Q$102)</f>
        <v>0</v>
      </c>
      <c r="S3" s="5">
        <f>AVERAGEIF('Analyse du classement'!$B$3:$B$102, $A3, 'Analyse du classement'!R$3:R$102)</f>
        <v>0</v>
      </c>
      <c r="T3" s="5">
        <f>AVERAGEIF('Analyse du classement'!$B$3:$B$102, $A3, 'Analyse du classement'!S$3:S$102)</f>
        <v>0</v>
      </c>
      <c r="U3" s="5">
        <f>AVERAGEIF('Analyse du classement'!$B$3:$B$102, $A3, 'Analyse du classement'!T$3:T$102)</f>
        <v>0</v>
      </c>
      <c r="V3" s="5">
        <f>AVERAGEIF('Analyse du classement'!$B$3:$B$102, $A3, 'Analyse du classement'!U$3:U$102)</f>
        <v>0</v>
      </c>
      <c r="W3" s="5">
        <f>AVERAGEIF('Analyse du classement'!$B$3:$B$102, $A3, 'Analyse du classement'!V$3:V$102)</f>
        <v>0</v>
      </c>
    </row>
    <row r="4" spans="1:23" x14ac:dyDescent="0.25">
      <c r="A4" s="1">
        <v>3</v>
      </c>
      <c r="B4" s="1" t="s">
        <v>3</v>
      </c>
      <c r="C4" s="6">
        <v>1</v>
      </c>
      <c r="D4" s="5">
        <f>AVERAGEIF('Analyse du classement'!$B$3:$B$102, $A4, 'Analyse du classement'!C$3:C$102)</f>
        <v>0</v>
      </c>
      <c r="E4" s="5">
        <f>AVERAGEIF('Analyse du classement'!$B$3:$B$102, $A4, 'Analyse du classement'!D$3:D$102)</f>
        <v>0</v>
      </c>
      <c r="F4" s="5">
        <f>AVERAGEIF('Analyse du classement'!$B$3:$B$102, $A4, 'Analyse du classement'!E$3:E$102)</f>
        <v>1</v>
      </c>
      <c r="G4" s="5">
        <f>AVERAGEIF('Analyse du classement'!$B$3:$B$102, $A4, 'Analyse du classement'!F$3:F$102)</f>
        <v>0</v>
      </c>
      <c r="H4" s="5">
        <f>AVERAGEIF('Analyse du classement'!$B$3:$B$102, $A4, 'Analyse du classement'!G$3:G$102)</f>
        <v>0</v>
      </c>
      <c r="I4" s="5">
        <f>AVERAGEIF('Analyse du classement'!$B$3:$B$102, $A4, 'Analyse du classement'!H$3:H$102)</f>
        <v>0</v>
      </c>
      <c r="J4" s="5">
        <f>AVERAGEIF('Analyse du classement'!$B$3:$B$102, $A4, 'Analyse du classement'!I$3:I$102)</f>
        <v>0</v>
      </c>
      <c r="K4" s="5">
        <f>AVERAGEIF('Analyse du classement'!$B$3:$B$102, $A4, 'Analyse du classement'!J$3:J$102)</f>
        <v>0</v>
      </c>
      <c r="L4" s="5">
        <f>AVERAGEIF('Analyse du classement'!$B$3:$B$102, $A4, 'Analyse du classement'!K$3:K$102)</f>
        <v>0</v>
      </c>
      <c r="M4" s="5">
        <f>AVERAGEIF('Analyse du classement'!$B$3:$B$102, $A4, 'Analyse du classement'!L$3:L$102)</f>
        <v>0</v>
      </c>
      <c r="N4" s="5">
        <f>AVERAGEIF('Analyse du classement'!$B$3:$B$102, $A4, 'Analyse du classement'!M$3:M$102)</f>
        <v>0</v>
      </c>
      <c r="O4" s="5">
        <f>AVERAGEIF('Analyse du classement'!$B$3:$B$102, $A4, 'Analyse du classement'!N$3:N$102)</f>
        <v>0</v>
      </c>
      <c r="P4" s="5">
        <f>AVERAGEIF('Analyse du classement'!$B$3:$B$102, $A4, 'Analyse du classement'!O$3:O$102)</f>
        <v>0</v>
      </c>
      <c r="Q4" s="5">
        <f>AVERAGEIF('Analyse du classement'!$B$3:$B$102, $A4, 'Analyse du classement'!P$3:P$102)</f>
        <v>0</v>
      </c>
      <c r="R4" s="5">
        <f>AVERAGEIF('Analyse du classement'!$B$3:$B$102, $A4, 'Analyse du classement'!Q$3:Q$102)</f>
        <v>0</v>
      </c>
      <c r="S4" s="5">
        <f>AVERAGEIF('Analyse du classement'!$B$3:$B$102, $A4, 'Analyse du classement'!R$3:R$102)</f>
        <v>0</v>
      </c>
      <c r="T4" s="5">
        <f>AVERAGEIF('Analyse du classement'!$B$3:$B$102, $A4, 'Analyse du classement'!S$3:S$102)</f>
        <v>0</v>
      </c>
      <c r="U4" s="5">
        <f>AVERAGEIF('Analyse du classement'!$B$3:$B$102, $A4, 'Analyse du classement'!T$3:T$102)</f>
        <v>0</v>
      </c>
      <c r="V4" s="5">
        <f>AVERAGEIF('Analyse du classement'!$B$3:$B$102, $A4, 'Analyse du classement'!U$3:U$102)</f>
        <v>0</v>
      </c>
      <c r="W4" s="5">
        <f>AVERAGEIF('Analyse du classement'!$B$3:$B$102, $A4, 'Analyse du classement'!V$3:V$102)</f>
        <v>0</v>
      </c>
    </row>
    <row r="5" spans="1:23" x14ac:dyDescent="0.25">
      <c r="A5" s="1">
        <v>4</v>
      </c>
      <c r="B5" s="1" t="s">
        <v>4</v>
      </c>
      <c r="C5" s="6">
        <v>0.98750000000000004</v>
      </c>
      <c r="D5" s="5">
        <f>AVERAGEIF('Analyse du classement'!$B$3:$B$102, $A5, 'Analyse du classement'!C$3:C$102)</f>
        <v>0</v>
      </c>
      <c r="E5" s="5">
        <f>AVERAGEIF('Analyse du classement'!$B$3:$B$102, $A5, 'Analyse du classement'!D$3:D$102)</f>
        <v>0</v>
      </c>
      <c r="F5" s="5">
        <f>AVERAGEIF('Analyse du classement'!$B$3:$B$102, $A5, 'Analyse du classement'!E$3:E$102)</f>
        <v>0</v>
      </c>
      <c r="G5" s="5">
        <f>AVERAGEIF('Analyse du classement'!$B$3:$B$102, $A5, 'Analyse du classement'!F$3:F$102)</f>
        <v>0.98750000000000004</v>
      </c>
      <c r="H5" s="5">
        <f>AVERAGEIF('Analyse du classement'!$B$3:$B$102, $A5, 'Analyse du classement'!G$3:G$102)</f>
        <v>0</v>
      </c>
      <c r="I5" s="5">
        <f>AVERAGEIF('Analyse du classement'!$B$3:$B$102, $A5, 'Analyse du classement'!H$3:H$102)</f>
        <v>0</v>
      </c>
      <c r="J5" s="5">
        <f>AVERAGEIF('Analyse du classement'!$B$3:$B$102, $A5, 'Analyse du classement'!I$3:I$102)</f>
        <v>0</v>
      </c>
      <c r="K5" s="5">
        <f>AVERAGEIF('Analyse du classement'!$B$3:$B$102, $A5, 'Analyse du classement'!J$3:J$102)</f>
        <v>0</v>
      </c>
      <c r="L5" s="5">
        <f>AVERAGEIF('Analyse du classement'!$B$3:$B$102, $A5, 'Analyse du classement'!K$3:K$102)</f>
        <v>0</v>
      </c>
      <c r="M5" s="5">
        <f>AVERAGEIF('Analyse du classement'!$B$3:$B$102, $A5, 'Analyse du classement'!L$3:L$102)</f>
        <v>0</v>
      </c>
      <c r="N5" s="5">
        <f>AVERAGEIF('Analyse du classement'!$B$3:$B$102, $A5, 'Analyse du classement'!M$3:M$102)</f>
        <v>0</v>
      </c>
      <c r="O5" s="5">
        <f>AVERAGEIF('Analyse du classement'!$B$3:$B$102, $A5, 'Analyse du classement'!N$3:N$102)</f>
        <v>0</v>
      </c>
      <c r="P5" s="5">
        <f>AVERAGEIF('Analyse du classement'!$B$3:$B$102, $A5, 'Analyse du classement'!O$3:O$102)</f>
        <v>0</v>
      </c>
      <c r="Q5" s="5">
        <f>AVERAGEIF('Analyse du classement'!$B$3:$B$102, $A5, 'Analyse du classement'!P$3:P$102)</f>
        <v>0</v>
      </c>
      <c r="R5" s="5">
        <f>AVERAGEIF('Analyse du classement'!$B$3:$B$102, $A5, 'Analyse du classement'!Q$3:Q$102)</f>
        <v>0</v>
      </c>
      <c r="S5" s="5">
        <f>AVERAGEIF('Analyse du classement'!$B$3:$B$102, $A5, 'Analyse du classement'!R$3:R$102)</f>
        <v>0</v>
      </c>
      <c r="T5" s="5">
        <f>AVERAGEIF('Analyse du classement'!$B$3:$B$102, $A5, 'Analyse du classement'!S$3:S$102)</f>
        <v>0</v>
      </c>
      <c r="U5" s="5">
        <f>AVERAGEIF('Analyse du classement'!$B$3:$B$102, $A5, 'Analyse du classement'!T$3:T$102)</f>
        <v>0</v>
      </c>
      <c r="V5" s="5">
        <f>AVERAGEIF('Analyse du classement'!$B$3:$B$102, $A5, 'Analyse du classement'!U$3:U$102)</f>
        <v>0</v>
      </c>
      <c r="W5" s="5">
        <f>AVERAGEIF('Analyse du classement'!$B$3:$B$102, $A5, 'Analyse du classement'!V$3:V$102)</f>
        <v>0</v>
      </c>
    </row>
    <row r="6" spans="1:23" x14ac:dyDescent="0.25">
      <c r="A6" s="1">
        <v>5</v>
      </c>
      <c r="B6" s="1" t="s">
        <v>5</v>
      </c>
      <c r="C6" s="6">
        <v>1</v>
      </c>
      <c r="D6" s="5">
        <f>AVERAGEIF('Analyse du classement'!$B$3:$B$102, $A6, 'Analyse du classement'!C$3:C$102)</f>
        <v>0</v>
      </c>
      <c r="E6" s="5">
        <f>AVERAGEIF('Analyse du classement'!$B$3:$B$102, $A6, 'Analyse du classement'!D$3:D$102)</f>
        <v>0</v>
      </c>
      <c r="F6" s="5">
        <f>AVERAGEIF('Analyse du classement'!$B$3:$B$102, $A6, 'Analyse du classement'!E$3:E$102)</f>
        <v>0</v>
      </c>
      <c r="G6" s="5">
        <f>AVERAGEIF('Analyse du classement'!$B$3:$B$102, $A6, 'Analyse du classement'!F$3:F$102)</f>
        <v>0</v>
      </c>
      <c r="H6" s="5">
        <f>AVERAGEIF('Analyse du classement'!$B$3:$B$102, $A6, 'Analyse du classement'!G$3:G$102)</f>
        <v>1</v>
      </c>
      <c r="I6" s="5">
        <f>AVERAGEIF('Analyse du classement'!$B$3:$B$102, $A6, 'Analyse du classement'!H$3:H$102)</f>
        <v>0</v>
      </c>
      <c r="J6" s="5">
        <f>AVERAGEIF('Analyse du classement'!$B$3:$B$102, $A6, 'Analyse du classement'!I$3:I$102)</f>
        <v>0</v>
      </c>
      <c r="K6" s="5">
        <f>AVERAGEIF('Analyse du classement'!$B$3:$B$102, $A6, 'Analyse du classement'!J$3:J$102)</f>
        <v>0</v>
      </c>
      <c r="L6" s="5">
        <f>AVERAGEIF('Analyse du classement'!$B$3:$B$102, $A6, 'Analyse du classement'!K$3:K$102)</f>
        <v>0</v>
      </c>
      <c r="M6" s="5">
        <f>AVERAGEIF('Analyse du classement'!$B$3:$B$102, $A6, 'Analyse du classement'!L$3:L$102)</f>
        <v>0</v>
      </c>
      <c r="N6" s="5">
        <f>AVERAGEIF('Analyse du classement'!$B$3:$B$102, $A6, 'Analyse du classement'!M$3:M$102)</f>
        <v>0</v>
      </c>
      <c r="O6" s="5">
        <f>AVERAGEIF('Analyse du classement'!$B$3:$B$102, $A6, 'Analyse du classement'!N$3:N$102)</f>
        <v>0</v>
      </c>
      <c r="P6" s="5">
        <f>AVERAGEIF('Analyse du classement'!$B$3:$B$102, $A6, 'Analyse du classement'!O$3:O$102)</f>
        <v>0</v>
      </c>
      <c r="Q6" s="5">
        <f>AVERAGEIF('Analyse du classement'!$B$3:$B$102, $A6, 'Analyse du classement'!P$3:P$102)</f>
        <v>0</v>
      </c>
      <c r="R6" s="5">
        <f>AVERAGEIF('Analyse du classement'!$B$3:$B$102, $A6, 'Analyse du classement'!Q$3:Q$102)</f>
        <v>0</v>
      </c>
      <c r="S6" s="5">
        <f>AVERAGEIF('Analyse du classement'!$B$3:$B$102, $A6, 'Analyse du classement'!R$3:R$102)</f>
        <v>0</v>
      </c>
      <c r="T6" s="5">
        <f>AVERAGEIF('Analyse du classement'!$B$3:$B$102, $A6, 'Analyse du classement'!S$3:S$102)</f>
        <v>0</v>
      </c>
      <c r="U6" s="5">
        <f>AVERAGEIF('Analyse du classement'!$B$3:$B$102, $A6, 'Analyse du classement'!T$3:T$102)</f>
        <v>0</v>
      </c>
      <c r="V6" s="5">
        <f>AVERAGEIF('Analyse du classement'!$B$3:$B$102, $A6, 'Analyse du classement'!U$3:U$102)</f>
        <v>0</v>
      </c>
      <c r="W6" s="5">
        <f>AVERAGEIF('Analyse du classement'!$B$3:$B$102, $A6, 'Analyse du classement'!V$3:V$102)</f>
        <v>0</v>
      </c>
    </row>
    <row r="7" spans="1:23" x14ac:dyDescent="0.25">
      <c r="A7" s="1">
        <v>6</v>
      </c>
      <c r="B7" s="1" t="s">
        <v>6</v>
      </c>
      <c r="C7" s="6">
        <v>1</v>
      </c>
      <c r="D7" s="5">
        <f>AVERAGEIF('Analyse du classement'!$B$3:$B$102, $A7, 'Analyse du classement'!C$3:C$102)</f>
        <v>0</v>
      </c>
      <c r="E7" s="5">
        <f>AVERAGEIF('Analyse du classement'!$B$3:$B$102, $A7, 'Analyse du classement'!D$3:D$102)</f>
        <v>0</v>
      </c>
      <c r="F7" s="5">
        <f>AVERAGEIF('Analyse du classement'!$B$3:$B$102, $A7, 'Analyse du classement'!E$3:E$102)</f>
        <v>0</v>
      </c>
      <c r="G7" s="5">
        <f>AVERAGEIF('Analyse du classement'!$B$3:$B$102, $A7, 'Analyse du classement'!F$3:F$102)</f>
        <v>0</v>
      </c>
      <c r="H7" s="5">
        <f>AVERAGEIF('Analyse du classement'!$B$3:$B$102, $A7, 'Analyse du classement'!G$3:G$102)</f>
        <v>0</v>
      </c>
      <c r="I7" s="5">
        <f>AVERAGEIF('Analyse du classement'!$B$3:$B$102, $A7, 'Analyse du classement'!H$3:H$102)</f>
        <v>1</v>
      </c>
      <c r="J7" s="5">
        <f>AVERAGEIF('Analyse du classement'!$B$3:$B$102, $A7, 'Analyse du classement'!I$3:I$102)</f>
        <v>0</v>
      </c>
      <c r="K7" s="5">
        <f>AVERAGEIF('Analyse du classement'!$B$3:$B$102, $A7, 'Analyse du classement'!J$3:J$102)</f>
        <v>0</v>
      </c>
      <c r="L7" s="5">
        <f>AVERAGEIF('Analyse du classement'!$B$3:$B$102, $A7, 'Analyse du classement'!K$3:K$102)</f>
        <v>0</v>
      </c>
      <c r="M7" s="5">
        <f>AVERAGEIF('Analyse du classement'!$B$3:$B$102, $A7, 'Analyse du classement'!L$3:L$102)</f>
        <v>0</v>
      </c>
      <c r="N7" s="5">
        <f>AVERAGEIF('Analyse du classement'!$B$3:$B$102, $A7, 'Analyse du classement'!M$3:M$102)</f>
        <v>0</v>
      </c>
      <c r="O7" s="5">
        <f>AVERAGEIF('Analyse du classement'!$B$3:$B$102, $A7, 'Analyse du classement'!N$3:N$102)</f>
        <v>0</v>
      </c>
      <c r="P7" s="5">
        <f>AVERAGEIF('Analyse du classement'!$B$3:$B$102, $A7, 'Analyse du classement'!O$3:O$102)</f>
        <v>0</v>
      </c>
      <c r="Q7" s="5">
        <f>AVERAGEIF('Analyse du classement'!$B$3:$B$102, $A7, 'Analyse du classement'!P$3:P$102)</f>
        <v>0</v>
      </c>
      <c r="R7" s="5">
        <f>AVERAGEIF('Analyse du classement'!$B$3:$B$102, $A7, 'Analyse du classement'!Q$3:Q$102)</f>
        <v>0</v>
      </c>
      <c r="S7" s="5">
        <f>AVERAGEIF('Analyse du classement'!$B$3:$B$102, $A7, 'Analyse du classement'!R$3:R$102)</f>
        <v>0</v>
      </c>
      <c r="T7" s="5">
        <f>AVERAGEIF('Analyse du classement'!$B$3:$B$102, $A7, 'Analyse du classement'!S$3:S$102)</f>
        <v>0</v>
      </c>
      <c r="U7" s="5">
        <f>AVERAGEIF('Analyse du classement'!$B$3:$B$102, $A7, 'Analyse du classement'!T$3:T$102)</f>
        <v>0</v>
      </c>
      <c r="V7" s="5">
        <f>AVERAGEIF('Analyse du classement'!$B$3:$B$102, $A7, 'Analyse du classement'!U$3:U$102)</f>
        <v>0</v>
      </c>
      <c r="W7" s="5">
        <f>AVERAGEIF('Analyse du classement'!$B$3:$B$102, $A7, 'Analyse du classement'!V$3:V$102)</f>
        <v>0</v>
      </c>
    </row>
    <row r="8" spans="1:23" x14ac:dyDescent="0.25">
      <c r="A8" s="1">
        <v>7</v>
      </c>
      <c r="B8" s="1" t="s">
        <v>7</v>
      </c>
      <c r="C8" s="6">
        <v>0.97499999999999998</v>
      </c>
      <c r="D8" s="5">
        <f>AVERAGEIF('Analyse du classement'!$B$3:$B$102, $A8, 'Analyse du classement'!C$3:C$102)</f>
        <v>0</v>
      </c>
      <c r="E8" s="5">
        <f>AVERAGEIF('Analyse du classement'!$B$3:$B$102, $A8, 'Analyse du classement'!D$3:D$102)</f>
        <v>0</v>
      </c>
      <c r="F8" s="5">
        <f>AVERAGEIF('Analyse du classement'!$B$3:$B$102, $A8, 'Analyse du classement'!E$3:E$102)</f>
        <v>0</v>
      </c>
      <c r="G8" s="5">
        <f>AVERAGEIF('Analyse du classement'!$B$3:$B$102, $A8, 'Analyse du classement'!F$3:F$102)</f>
        <v>1.2500000000000001E-2</v>
      </c>
      <c r="H8" s="5">
        <f>AVERAGEIF('Analyse du classement'!$B$3:$B$102, $A8, 'Analyse du classement'!G$3:G$102)</f>
        <v>0</v>
      </c>
      <c r="I8" s="5">
        <f>AVERAGEIF('Analyse du classement'!$B$3:$B$102, $A8, 'Analyse du classement'!H$3:H$102)</f>
        <v>0</v>
      </c>
      <c r="J8" s="5">
        <f>AVERAGEIF('Analyse du classement'!$B$3:$B$102, $A8, 'Analyse du classement'!I$3:I$102)</f>
        <v>0.97499999999999998</v>
      </c>
      <c r="K8" s="5">
        <f>AVERAGEIF('Analyse du classement'!$B$3:$B$102, $A8, 'Analyse du classement'!J$3:J$102)</f>
        <v>0</v>
      </c>
      <c r="L8" s="5">
        <f>AVERAGEIF('Analyse du classement'!$B$3:$B$102, $A8, 'Analyse du classement'!K$3:K$102)</f>
        <v>0</v>
      </c>
      <c r="M8" s="5">
        <f>AVERAGEIF('Analyse du classement'!$B$3:$B$102, $A8, 'Analyse du classement'!L$3:L$102)</f>
        <v>0</v>
      </c>
      <c r="N8" s="5">
        <f>AVERAGEIF('Analyse du classement'!$B$3:$B$102, $A8, 'Analyse du classement'!M$3:M$102)</f>
        <v>0</v>
      </c>
      <c r="O8" s="5">
        <f>AVERAGEIF('Analyse du classement'!$B$3:$B$102, $A8, 'Analyse du classement'!N$3:N$102)</f>
        <v>0</v>
      </c>
      <c r="P8" s="5">
        <f>AVERAGEIF('Analyse du classement'!$B$3:$B$102, $A8, 'Analyse du classement'!O$3:O$102)</f>
        <v>0</v>
      </c>
      <c r="Q8" s="5">
        <f>AVERAGEIF('Analyse du classement'!$B$3:$B$102, $A8, 'Analyse du classement'!P$3:P$102)</f>
        <v>0</v>
      </c>
      <c r="R8" s="5">
        <f>AVERAGEIF('Analyse du classement'!$B$3:$B$102, $A8, 'Analyse du classement'!Q$3:Q$102)</f>
        <v>0</v>
      </c>
      <c r="S8" s="5">
        <f>AVERAGEIF('Analyse du classement'!$B$3:$B$102, $A8, 'Analyse du classement'!R$3:R$102)</f>
        <v>1.2500000000000001E-2</v>
      </c>
      <c r="T8" s="5">
        <f>AVERAGEIF('Analyse du classement'!$B$3:$B$102, $A8, 'Analyse du classement'!S$3:S$102)</f>
        <v>0</v>
      </c>
      <c r="U8" s="5">
        <f>AVERAGEIF('Analyse du classement'!$B$3:$B$102, $A8, 'Analyse du classement'!T$3:T$102)</f>
        <v>0</v>
      </c>
      <c r="V8" s="5">
        <f>AVERAGEIF('Analyse du classement'!$B$3:$B$102, $A8, 'Analyse du classement'!U$3:U$102)</f>
        <v>0</v>
      </c>
      <c r="W8" s="5">
        <f>AVERAGEIF('Analyse du classement'!$B$3:$B$102, $A8, 'Analyse du classement'!V$3:V$102)</f>
        <v>0</v>
      </c>
    </row>
    <row r="9" spans="1:23" x14ac:dyDescent="0.25">
      <c r="A9" s="1">
        <v>8</v>
      </c>
      <c r="B9" s="1" t="s">
        <v>8</v>
      </c>
      <c r="C9" s="6">
        <v>0.88571428571428579</v>
      </c>
      <c r="D9" s="5">
        <f>AVERAGEIF('Analyse du classement'!$B$3:$B$102, $A9, 'Analyse du classement'!C$3:C$102)</f>
        <v>0</v>
      </c>
      <c r="E9" s="5">
        <f>AVERAGEIF('Analyse du classement'!$B$3:$B$102, $A9, 'Analyse du classement'!D$3:D$102)</f>
        <v>7.1428571428571435E-3</v>
      </c>
      <c r="F9" s="5">
        <f>AVERAGEIF('Analyse du classement'!$B$3:$B$102, $A9, 'Analyse du classement'!E$3:E$102)</f>
        <v>1.4285714285714287E-2</v>
      </c>
      <c r="G9" s="5">
        <f>AVERAGEIF('Analyse du classement'!$B$3:$B$102, $A9, 'Analyse du classement'!F$3:F$102)</f>
        <v>0</v>
      </c>
      <c r="H9" s="5">
        <f>AVERAGEIF('Analyse du classement'!$B$3:$B$102, $A9, 'Analyse du classement'!G$3:G$102)</f>
        <v>0</v>
      </c>
      <c r="I9" s="5">
        <f>AVERAGEIF('Analyse du classement'!$B$3:$B$102, $A9, 'Analyse du classement'!H$3:H$102)</f>
        <v>0</v>
      </c>
      <c r="J9" s="5">
        <f>AVERAGEIF('Analyse du classement'!$B$3:$B$102, $A9, 'Analyse du classement'!I$3:I$102)</f>
        <v>0</v>
      </c>
      <c r="K9" s="5">
        <f>AVERAGEIF('Analyse du classement'!$B$3:$B$102, $A9, 'Analyse du classement'!J$3:J$102)</f>
        <v>0.88571428571428579</v>
      </c>
      <c r="L9" s="5">
        <f>AVERAGEIF('Analyse du classement'!$B$3:$B$102, $A9, 'Analyse du classement'!K$3:K$102)</f>
        <v>9.285714285714286E-2</v>
      </c>
      <c r="M9" s="5">
        <f>AVERAGEIF('Analyse du classement'!$B$3:$B$102, $A9, 'Analyse du classement'!L$3:L$102)</f>
        <v>0</v>
      </c>
      <c r="N9" s="5">
        <f>AVERAGEIF('Analyse du classement'!$B$3:$B$102, $A9, 'Analyse du classement'!M$3:M$102)</f>
        <v>0</v>
      </c>
      <c r="O9" s="5">
        <f>AVERAGEIF('Analyse du classement'!$B$3:$B$102, $A9, 'Analyse du classement'!N$3:N$102)</f>
        <v>0</v>
      </c>
      <c r="P9" s="5">
        <f>AVERAGEIF('Analyse du classement'!$B$3:$B$102, $A9, 'Analyse du classement'!O$3:O$102)</f>
        <v>0</v>
      </c>
      <c r="Q9" s="5">
        <f>AVERAGEIF('Analyse du classement'!$B$3:$B$102, $A9, 'Analyse du classement'!P$3:P$102)</f>
        <v>0</v>
      </c>
      <c r="R9" s="5">
        <f>AVERAGEIF('Analyse du classement'!$B$3:$B$102, $A9, 'Analyse du classement'!Q$3:Q$102)</f>
        <v>0</v>
      </c>
      <c r="S9" s="5">
        <f>AVERAGEIF('Analyse du classement'!$B$3:$B$102, $A9, 'Analyse du classement'!R$3:R$102)</f>
        <v>0</v>
      </c>
      <c r="T9" s="5">
        <f>AVERAGEIF('Analyse du classement'!$B$3:$B$102, $A9, 'Analyse du classement'!S$3:S$102)</f>
        <v>0</v>
      </c>
      <c r="U9" s="5">
        <f>AVERAGEIF('Analyse du classement'!$B$3:$B$102, $A9, 'Analyse du classement'!T$3:T$102)</f>
        <v>0</v>
      </c>
      <c r="V9" s="5">
        <f>AVERAGEIF('Analyse du classement'!$B$3:$B$102, $A9, 'Analyse du classement'!U$3:U$102)</f>
        <v>0</v>
      </c>
      <c r="W9" s="5">
        <f>AVERAGEIF('Analyse du classement'!$B$3:$B$102, $A9, 'Analyse du classement'!V$3:V$102)</f>
        <v>0</v>
      </c>
    </row>
    <row r="10" spans="1:23" x14ac:dyDescent="0.25">
      <c r="A10" s="1">
        <v>9</v>
      </c>
      <c r="B10" s="1" t="s">
        <v>9</v>
      </c>
      <c r="C10" s="6">
        <v>1</v>
      </c>
      <c r="D10" s="5">
        <f>AVERAGEIF('Analyse du classement'!$B$3:$B$102, $A10, 'Analyse du classement'!C$3:C$102)</f>
        <v>0</v>
      </c>
      <c r="E10" s="5">
        <f>AVERAGEIF('Analyse du classement'!$B$3:$B$102, $A10, 'Analyse du classement'!D$3:D$102)</f>
        <v>0</v>
      </c>
      <c r="F10" s="5">
        <f>AVERAGEIF('Analyse du classement'!$B$3:$B$102, $A10, 'Analyse du classement'!E$3:E$102)</f>
        <v>0</v>
      </c>
      <c r="G10" s="5">
        <f>AVERAGEIF('Analyse du classement'!$B$3:$B$102, $A10, 'Analyse du classement'!F$3:F$102)</f>
        <v>0</v>
      </c>
      <c r="H10" s="5">
        <f>AVERAGEIF('Analyse du classement'!$B$3:$B$102, $A10, 'Analyse du classement'!G$3:G$102)</f>
        <v>0</v>
      </c>
      <c r="I10" s="5">
        <f>AVERAGEIF('Analyse du classement'!$B$3:$B$102, $A10, 'Analyse du classement'!H$3:H$102)</f>
        <v>0</v>
      </c>
      <c r="J10" s="5">
        <f>AVERAGEIF('Analyse du classement'!$B$3:$B$102, $A10, 'Analyse du classement'!I$3:I$102)</f>
        <v>0</v>
      </c>
      <c r="K10" s="5">
        <f>AVERAGEIF('Analyse du classement'!$B$3:$B$102, $A10, 'Analyse du classement'!J$3:J$102)</f>
        <v>0</v>
      </c>
      <c r="L10" s="5">
        <f>AVERAGEIF('Analyse du classement'!$B$3:$B$102, $A10, 'Analyse du classement'!K$3:K$102)</f>
        <v>1</v>
      </c>
      <c r="M10" s="5">
        <f>AVERAGEIF('Analyse du classement'!$B$3:$B$102, $A10, 'Analyse du classement'!L$3:L$102)</f>
        <v>0</v>
      </c>
      <c r="N10" s="5">
        <f>AVERAGEIF('Analyse du classement'!$B$3:$B$102, $A10, 'Analyse du classement'!M$3:M$102)</f>
        <v>0</v>
      </c>
      <c r="O10" s="5">
        <f>AVERAGEIF('Analyse du classement'!$B$3:$B$102, $A10, 'Analyse du classement'!N$3:N$102)</f>
        <v>0</v>
      </c>
      <c r="P10" s="5">
        <f>AVERAGEIF('Analyse du classement'!$B$3:$B$102, $A10, 'Analyse du classement'!O$3:O$102)</f>
        <v>0</v>
      </c>
      <c r="Q10" s="5">
        <f>AVERAGEIF('Analyse du classement'!$B$3:$B$102, $A10, 'Analyse du classement'!P$3:P$102)</f>
        <v>0</v>
      </c>
      <c r="R10" s="5">
        <f>AVERAGEIF('Analyse du classement'!$B$3:$B$102, $A10, 'Analyse du classement'!Q$3:Q$102)</f>
        <v>0</v>
      </c>
      <c r="S10" s="5">
        <f>AVERAGEIF('Analyse du classement'!$B$3:$B$102, $A10, 'Analyse du classement'!R$3:R$102)</f>
        <v>0</v>
      </c>
      <c r="T10" s="5">
        <f>AVERAGEIF('Analyse du classement'!$B$3:$B$102, $A10, 'Analyse du classement'!S$3:S$102)</f>
        <v>0</v>
      </c>
      <c r="U10" s="5">
        <f>AVERAGEIF('Analyse du classement'!$B$3:$B$102, $A10, 'Analyse du classement'!T$3:T$102)</f>
        <v>0</v>
      </c>
      <c r="V10" s="5">
        <f>AVERAGEIF('Analyse du classement'!$B$3:$B$102, $A10, 'Analyse du classement'!U$3:U$102)</f>
        <v>0</v>
      </c>
      <c r="W10" s="5">
        <f>AVERAGEIF('Analyse du classement'!$B$3:$B$102, $A10, 'Analyse du classement'!V$3:V$102)</f>
        <v>0</v>
      </c>
    </row>
    <row r="11" spans="1:23" x14ac:dyDescent="0.25">
      <c r="A11" s="1">
        <v>10</v>
      </c>
      <c r="B11" s="1" t="s">
        <v>10</v>
      </c>
      <c r="C11" s="6">
        <v>1</v>
      </c>
      <c r="D11" s="5">
        <f>AVERAGEIF('Analyse du classement'!$B$3:$B$102, $A11, 'Analyse du classement'!C$3:C$102)</f>
        <v>0</v>
      </c>
      <c r="E11" s="5">
        <f>AVERAGEIF('Analyse du classement'!$B$3:$B$102, $A11, 'Analyse du classement'!D$3:D$102)</f>
        <v>0</v>
      </c>
      <c r="F11" s="5">
        <f>AVERAGEIF('Analyse du classement'!$B$3:$B$102, $A11, 'Analyse du classement'!E$3:E$102)</f>
        <v>0</v>
      </c>
      <c r="G11" s="5">
        <f>AVERAGEIF('Analyse du classement'!$B$3:$B$102, $A11, 'Analyse du classement'!F$3:F$102)</f>
        <v>0</v>
      </c>
      <c r="H11" s="5">
        <f>AVERAGEIF('Analyse du classement'!$B$3:$B$102, $A11, 'Analyse du classement'!G$3:G$102)</f>
        <v>0</v>
      </c>
      <c r="I11" s="5">
        <f>AVERAGEIF('Analyse du classement'!$B$3:$B$102, $A11, 'Analyse du classement'!H$3:H$102)</f>
        <v>0</v>
      </c>
      <c r="J11" s="5">
        <f>AVERAGEIF('Analyse du classement'!$B$3:$B$102, $A11, 'Analyse du classement'!I$3:I$102)</f>
        <v>0</v>
      </c>
      <c r="K11" s="5">
        <f>AVERAGEIF('Analyse du classement'!$B$3:$B$102, $A11, 'Analyse du classement'!J$3:J$102)</f>
        <v>0</v>
      </c>
      <c r="L11" s="5">
        <f>AVERAGEIF('Analyse du classement'!$B$3:$B$102, $A11, 'Analyse du classement'!K$3:K$102)</f>
        <v>0</v>
      </c>
      <c r="M11" s="5">
        <f>AVERAGEIF('Analyse du classement'!$B$3:$B$102, $A11, 'Analyse du classement'!L$3:L$102)</f>
        <v>1</v>
      </c>
      <c r="N11" s="5">
        <f>AVERAGEIF('Analyse du classement'!$B$3:$B$102, $A11, 'Analyse du classement'!M$3:M$102)</f>
        <v>0</v>
      </c>
      <c r="O11" s="5">
        <f>AVERAGEIF('Analyse du classement'!$B$3:$B$102, $A11, 'Analyse du classement'!N$3:N$102)</f>
        <v>0</v>
      </c>
      <c r="P11" s="5">
        <f>AVERAGEIF('Analyse du classement'!$B$3:$B$102, $A11, 'Analyse du classement'!O$3:O$102)</f>
        <v>0</v>
      </c>
      <c r="Q11" s="5">
        <f>AVERAGEIF('Analyse du classement'!$B$3:$B$102, $A11, 'Analyse du classement'!P$3:P$102)</f>
        <v>0</v>
      </c>
      <c r="R11" s="5">
        <f>AVERAGEIF('Analyse du classement'!$B$3:$B$102, $A11, 'Analyse du classement'!Q$3:Q$102)</f>
        <v>0</v>
      </c>
      <c r="S11" s="5">
        <f>AVERAGEIF('Analyse du classement'!$B$3:$B$102, $A11, 'Analyse du classement'!R$3:R$102)</f>
        <v>0</v>
      </c>
      <c r="T11" s="5">
        <f>AVERAGEIF('Analyse du classement'!$B$3:$B$102, $A11, 'Analyse du classement'!S$3:S$102)</f>
        <v>0</v>
      </c>
      <c r="U11" s="5">
        <f>AVERAGEIF('Analyse du classement'!$B$3:$B$102, $A11, 'Analyse du classement'!T$3:T$102)</f>
        <v>0</v>
      </c>
      <c r="V11" s="5">
        <f>AVERAGEIF('Analyse du classement'!$B$3:$B$102, $A11, 'Analyse du classement'!U$3:U$102)</f>
        <v>0</v>
      </c>
      <c r="W11" s="5">
        <f>AVERAGEIF('Analyse du classement'!$B$3:$B$102, $A11, 'Analyse du classement'!V$3:V$102)</f>
        <v>0</v>
      </c>
    </row>
    <row r="12" spans="1:23" x14ac:dyDescent="0.25">
      <c r="A12" s="1">
        <v>11</v>
      </c>
      <c r="B12" s="1" t="s">
        <v>11</v>
      </c>
      <c r="C12" s="6">
        <v>0.96666666666666667</v>
      </c>
      <c r="D12" s="5">
        <f>AVERAGEIF('Analyse du classement'!$B$3:$B$102, $A12, 'Analyse du classement'!C$3:C$102)</f>
        <v>0</v>
      </c>
      <c r="E12" s="5">
        <f>AVERAGEIF('Analyse du classement'!$B$3:$B$102, $A12, 'Analyse du classement'!D$3:D$102)</f>
        <v>0</v>
      </c>
      <c r="F12" s="5">
        <f>AVERAGEIF('Analyse du classement'!$B$3:$B$102, $A12, 'Analyse du classement'!E$3:E$102)</f>
        <v>0</v>
      </c>
      <c r="G12" s="5">
        <f>AVERAGEIF('Analyse du classement'!$B$3:$B$102, $A12, 'Analyse du classement'!F$3:F$102)</f>
        <v>0</v>
      </c>
      <c r="H12" s="5">
        <f>AVERAGEIF('Analyse du classement'!$B$3:$B$102, $A12, 'Analyse du classement'!G$3:G$102)</f>
        <v>0</v>
      </c>
      <c r="I12" s="5">
        <f>AVERAGEIF('Analyse du classement'!$B$3:$B$102, $A12, 'Analyse du classement'!H$3:H$102)</f>
        <v>0</v>
      </c>
      <c r="J12" s="5">
        <f>AVERAGEIF('Analyse du classement'!$B$3:$B$102, $A12, 'Analyse du classement'!I$3:I$102)</f>
        <v>0</v>
      </c>
      <c r="K12" s="5">
        <f>AVERAGEIF('Analyse du classement'!$B$3:$B$102, $A12, 'Analyse du classement'!J$3:J$102)</f>
        <v>0</v>
      </c>
      <c r="L12" s="5">
        <f>AVERAGEIF('Analyse du classement'!$B$3:$B$102, $A12, 'Analyse du classement'!K$3:K$102)</f>
        <v>1.6666666666666666E-2</v>
      </c>
      <c r="M12" s="5">
        <f>AVERAGEIF('Analyse du classement'!$B$3:$B$102, $A12, 'Analyse du classement'!L$3:L$102)</f>
        <v>0</v>
      </c>
      <c r="N12" s="5">
        <f>AVERAGEIF('Analyse du classement'!$B$3:$B$102, $A12, 'Analyse du classement'!M$3:M$102)</f>
        <v>0.96666666666666667</v>
      </c>
      <c r="O12" s="5">
        <f>AVERAGEIF('Analyse du classement'!$B$3:$B$102, $A12, 'Analyse du classement'!N$3:N$102)</f>
        <v>0</v>
      </c>
      <c r="P12" s="5">
        <f>AVERAGEIF('Analyse du classement'!$B$3:$B$102, $A12, 'Analyse du classement'!O$3:O$102)</f>
        <v>0</v>
      </c>
      <c r="Q12" s="5">
        <f>AVERAGEIF('Analyse du classement'!$B$3:$B$102, $A12, 'Analyse du classement'!P$3:P$102)</f>
        <v>0</v>
      </c>
      <c r="R12" s="5">
        <f>AVERAGEIF('Analyse du classement'!$B$3:$B$102, $A12, 'Analyse du classement'!Q$3:Q$102)</f>
        <v>0</v>
      </c>
      <c r="S12" s="5">
        <f>AVERAGEIF('Analyse du classement'!$B$3:$B$102, $A12, 'Analyse du classement'!R$3:R$102)</f>
        <v>0</v>
      </c>
      <c r="T12" s="5">
        <f>AVERAGEIF('Analyse du classement'!$B$3:$B$102, $A12, 'Analyse du classement'!S$3:S$102)</f>
        <v>1.6666666666666666E-2</v>
      </c>
      <c r="U12" s="5">
        <f>AVERAGEIF('Analyse du classement'!$B$3:$B$102, $A12, 'Analyse du classement'!T$3:T$102)</f>
        <v>0</v>
      </c>
      <c r="V12" s="5">
        <f>AVERAGEIF('Analyse du classement'!$B$3:$B$102, $A12, 'Analyse du classement'!U$3:U$102)</f>
        <v>0</v>
      </c>
      <c r="W12" s="5">
        <f>AVERAGEIF('Analyse du classement'!$B$3:$B$102, $A12, 'Analyse du classement'!V$3:V$102)</f>
        <v>0</v>
      </c>
    </row>
    <row r="13" spans="1:23" x14ac:dyDescent="0.25">
      <c r="A13" s="1">
        <v>12</v>
      </c>
      <c r="B13" s="1" t="s">
        <v>12</v>
      </c>
      <c r="C13" s="6">
        <v>1</v>
      </c>
      <c r="D13" s="5">
        <f>AVERAGEIF('Analyse du classement'!$B$3:$B$102, $A13, 'Analyse du classement'!C$3:C$102)</f>
        <v>0</v>
      </c>
      <c r="E13" s="5">
        <f>AVERAGEIF('Analyse du classement'!$B$3:$B$102, $A13, 'Analyse du classement'!D$3:D$102)</f>
        <v>0</v>
      </c>
      <c r="F13" s="5">
        <f>AVERAGEIF('Analyse du classement'!$B$3:$B$102, $A13, 'Analyse du classement'!E$3:E$102)</f>
        <v>0</v>
      </c>
      <c r="G13" s="5">
        <f>AVERAGEIF('Analyse du classement'!$B$3:$B$102, $A13, 'Analyse du classement'!F$3:F$102)</f>
        <v>0</v>
      </c>
      <c r="H13" s="5">
        <f>AVERAGEIF('Analyse du classement'!$B$3:$B$102, $A13, 'Analyse du classement'!G$3:G$102)</f>
        <v>0</v>
      </c>
      <c r="I13" s="5">
        <f>AVERAGEIF('Analyse du classement'!$B$3:$B$102, $A13, 'Analyse du classement'!H$3:H$102)</f>
        <v>0</v>
      </c>
      <c r="J13" s="5">
        <f>AVERAGEIF('Analyse du classement'!$B$3:$B$102, $A13, 'Analyse du classement'!I$3:I$102)</f>
        <v>0</v>
      </c>
      <c r="K13" s="5">
        <f>AVERAGEIF('Analyse du classement'!$B$3:$B$102, $A13, 'Analyse du classement'!J$3:J$102)</f>
        <v>0</v>
      </c>
      <c r="L13" s="5">
        <f>AVERAGEIF('Analyse du classement'!$B$3:$B$102, $A13, 'Analyse du classement'!K$3:K$102)</f>
        <v>0</v>
      </c>
      <c r="M13" s="5">
        <f>AVERAGEIF('Analyse du classement'!$B$3:$B$102, $A13, 'Analyse du classement'!L$3:L$102)</f>
        <v>0</v>
      </c>
      <c r="N13" s="5">
        <f>AVERAGEIF('Analyse du classement'!$B$3:$B$102, $A13, 'Analyse du classement'!M$3:M$102)</f>
        <v>0</v>
      </c>
      <c r="O13" s="5">
        <f>AVERAGEIF('Analyse du classement'!$B$3:$B$102, $A13, 'Analyse du classement'!N$3:N$102)</f>
        <v>1</v>
      </c>
      <c r="P13" s="5">
        <f>AVERAGEIF('Analyse du classement'!$B$3:$B$102, $A13, 'Analyse du classement'!O$3:O$102)</f>
        <v>0</v>
      </c>
      <c r="Q13" s="5">
        <f>AVERAGEIF('Analyse du classement'!$B$3:$B$102, $A13, 'Analyse du classement'!P$3:P$102)</f>
        <v>0</v>
      </c>
      <c r="R13" s="5">
        <f>AVERAGEIF('Analyse du classement'!$B$3:$B$102, $A13, 'Analyse du classement'!Q$3:Q$102)</f>
        <v>0</v>
      </c>
      <c r="S13" s="5">
        <f>AVERAGEIF('Analyse du classement'!$B$3:$B$102, $A13, 'Analyse du classement'!R$3:R$102)</f>
        <v>0</v>
      </c>
      <c r="T13" s="5">
        <f>AVERAGEIF('Analyse du classement'!$B$3:$B$102, $A13, 'Analyse du classement'!S$3:S$102)</f>
        <v>0</v>
      </c>
      <c r="U13" s="5">
        <f>AVERAGEIF('Analyse du classement'!$B$3:$B$102, $A13, 'Analyse du classement'!T$3:T$102)</f>
        <v>0</v>
      </c>
      <c r="V13" s="5">
        <f>AVERAGEIF('Analyse du classement'!$B$3:$B$102, $A13, 'Analyse du classement'!U$3:U$102)</f>
        <v>0</v>
      </c>
      <c r="W13" s="5">
        <f>AVERAGEIF('Analyse du classement'!$B$3:$B$102, $A13, 'Analyse du classement'!V$3:V$102)</f>
        <v>0</v>
      </c>
    </row>
    <row r="14" spans="1:23" x14ac:dyDescent="0.25">
      <c r="A14" s="1">
        <v>13</v>
      </c>
      <c r="B14" s="1" t="s">
        <v>13</v>
      </c>
      <c r="C14" s="6">
        <v>0.98000000000000009</v>
      </c>
      <c r="D14" s="5">
        <f>AVERAGEIF('Analyse du classement'!$B$3:$B$102, $A14, 'Analyse du classement'!C$3:C$102)</f>
        <v>0</v>
      </c>
      <c r="E14" s="5">
        <f>AVERAGEIF('Analyse du classement'!$B$3:$B$102, $A14, 'Analyse du classement'!D$3:D$102)</f>
        <v>0</v>
      </c>
      <c r="F14" s="5">
        <f>AVERAGEIF('Analyse du classement'!$B$3:$B$102, $A14, 'Analyse du classement'!E$3:E$102)</f>
        <v>0.01</v>
      </c>
      <c r="G14" s="5">
        <f>AVERAGEIF('Analyse du classement'!$B$3:$B$102, $A14, 'Analyse du classement'!F$3:F$102)</f>
        <v>0</v>
      </c>
      <c r="H14" s="5">
        <f>AVERAGEIF('Analyse du classement'!$B$3:$B$102, $A14, 'Analyse du classement'!G$3:G$102)</f>
        <v>0</v>
      </c>
      <c r="I14" s="5">
        <f>AVERAGEIF('Analyse du classement'!$B$3:$B$102, $A14, 'Analyse du classement'!H$3:H$102)</f>
        <v>0</v>
      </c>
      <c r="J14" s="5">
        <f>AVERAGEIF('Analyse du classement'!$B$3:$B$102, $A14, 'Analyse du classement'!I$3:I$102)</f>
        <v>0</v>
      </c>
      <c r="K14" s="5">
        <f>AVERAGEIF('Analyse du classement'!$B$3:$B$102, $A14, 'Analyse du classement'!J$3:J$102)</f>
        <v>0</v>
      </c>
      <c r="L14" s="5">
        <f>AVERAGEIF('Analyse du classement'!$B$3:$B$102, $A14, 'Analyse du classement'!K$3:K$102)</f>
        <v>0.01</v>
      </c>
      <c r="M14" s="5">
        <f>AVERAGEIF('Analyse du classement'!$B$3:$B$102, $A14, 'Analyse du classement'!L$3:L$102)</f>
        <v>0</v>
      </c>
      <c r="N14" s="5">
        <f>AVERAGEIF('Analyse du classement'!$B$3:$B$102, $A14, 'Analyse du classement'!M$3:M$102)</f>
        <v>0</v>
      </c>
      <c r="O14" s="5">
        <f>AVERAGEIF('Analyse du classement'!$B$3:$B$102, $A14, 'Analyse du classement'!N$3:N$102)</f>
        <v>0</v>
      </c>
      <c r="P14" s="5">
        <f>AVERAGEIF('Analyse du classement'!$B$3:$B$102, $A14, 'Analyse du classement'!O$3:O$102)</f>
        <v>0.98000000000000009</v>
      </c>
      <c r="Q14" s="5">
        <f>AVERAGEIF('Analyse du classement'!$B$3:$B$102, $A14, 'Analyse du classement'!P$3:P$102)</f>
        <v>0</v>
      </c>
      <c r="R14" s="5">
        <f>AVERAGEIF('Analyse du classement'!$B$3:$B$102, $A14, 'Analyse du classement'!Q$3:Q$102)</f>
        <v>0</v>
      </c>
      <c r="S14" s="5">
        <f>AVERAGEIF('Analyse du classement'!$B$3:$B$102, $A14, 'Analyse du classement'!R$3:R$102)</f>
        <v>0</v>
      </c>
      <c r="T14" s="5">
        <f>AVERAGEIF('Analyse du classement'!$B$3:$B$102, $A14, 'Analyse du classement'!S$3:S$102)</f>
        <v>0</v>
      </c>
      <c r="U14" s="5">
        <f>AVERAGEIF('Analyse du classement'!$B$3:$B$102, $A14, 'Analyse du classement'!T$3:T$102)</f>
        <v>0</v>
      </c>
      <c r="V14" s="5">
        <f>AVERAGEIF('Analyse du classement'!$B$3:$B$102, $A14, 'Analyse du classement'!U$3:U$102)</f>
        <v>0</v>
      </c>
      <c r="W14" s="5">
        <f>AVERAGEIF('Analyse du classement'!$B$3:$B$102, $A14, 'Analyse du classement'!V$3:V$102)</f>
        <v>0</v>
      </c>
    </row>
    <row r="15" spans="1:23" x14ac:dyDescent="0.25">
      <c r="A15" s="1">
        <v>14</v>
      </c>
      <c r="B15" s="1" t="s">
        <v>14</v>
      </c>
      <c r="C15" s="6">
        <v>0.74285714285714288</v>
      </c>
      <c r="D15" s="5">
        <f>AVERAGEIF('Analyse du classement'!$B$3:$B$102, $A15, 'Analyse du classement'!C$3:C$102)</f>
        <v>0</v>
      </c>
      <c r="E15" s="5">
        <f>AVERAGEIF('Analyse du classement'!$B$3:$B$102, $A15, 'Analyse du classement'!D$3:D$102)</f>
        <v>1.4285714285714287E-2</v>
      </c>
      <c r="F15" s="5">
        <f>AVERAGEIF('Analyse du classement'!$B$3:$B$102, $A15, 'Analyse du classement'!E$3:E$102)</f>
        <v>0.22142857142857145</v>
      </c>
      <c r="G15" s="5">
        <f>AVERAGEIF('Analyse du classement'!$B$3:$B$102, $A15, 'Analyse du classement'!F$3:F$102)</f>
        <v>0</v>
      </c>
      <c r="H15" s="5">
        <f>AVERAGEIF('Analyse du classement'!$B$3:$B$102, $A15, 'Analyse du classement'!G$3:G$102)</f>
        <v>0</v>
      </c>
      <c r="I15" s="5">
        <f>AVERAGEIF('Analyse du classement'!$B$3:$B$102, $A15, 'Analyse du classement'!H$3:H$102)</f>
        <v>0</v>
      </c>
      <c r="J15" s="5">
        <f>AVERAGEIF('Analyse du classement'!$B$3:$B$102, $A15, 'Analyse du classement'!I$3:I$102)</f>
        <v>0</v>
      </c>
      <c r="K15" s="5">
        <f>AVERAGEIF('Analyse du classement'!$B$3:$B$102, $A15, 'Analyse du classement'!J$3:J$102)</f>
        <v>0</v>
      </c>
      <c r="L15" s="5">
        <f>AVERAGEIF('Analyse du classement'!$B$3:$B$102, $A15, 'Analyse du classement'!K$3:K$102)</f>
        <v>0</v>
      </c>
      <c r="M15" s="5">
        <f>AVERAGEIF('Analyse du classement'!$B$3:$B$102, $A15, 'Analyse du classement'!L$3:L$102)</f>
        <v>0</v>
      </c>
      <c r="N15" s="5">
        <f>AVERAGEIF('Analyse du classement'!$B$3:$B$102, $A15, 'Analyse du classement'!M$3:M$102)</f>
        <v>2.1428571428571429E-2</v>
      </c>
      <c r="O15" s="5">
        <f>AVERAGEIF('Analyse du classement'!$B$3:$B$102, $A15, 'Analyse du classement'!N$3:N$102)</f>
        <v>0</v>
      </c>
      <c r="P15" s="5">
        <f>AVERAGEIF('Analyse du classement'!$B$3:$B$102, $A15, 'Analyse du classement'!O$3:O$102)</f>
        <v>0</v>
      </c>
      <c r="Q15" s="5">
        <f>AVERAGEIF('Analyse du classement'!$B$3:$B$102, $A15, 'Analyse du classement'!P$3:P$102)</f>
        <v>0.74285714285714288</v>
      </c>
      <c r="R15" s="5">
        <f>AVERAGEIF('Analyse du classement'!$B$3:$B$102, $A15, 'Analyse du classement'!Q$3:Q$102)</f>
        <v>0</v>
      </c>
      <c r="S15" s="5">
        <f>AVERAGEIF('Analyse du classement'!$B$3:$B$102, $A15, 'Analyse du classement'!R$3:R$102)</f>
        <v>0</v>
      </c>
      <c r="T15" s="5">
        <f>AVERAGEIF('Analyse du classement'!$B$3:$B$102, $A15, 'Analyse du classement'!S$3:S$102)</f>
        <v>0</v>
      </c>
      <c r="U15" s="5">
        <f>AVERAGEIF('Analyse du classement'!$B$3:$B$102, $A15, 'Analyse du classement'!T$3:T$102)</f>
        <v>0</v>
      </c>
      <c r="V15" s="5">
        <f>AVERAGEIF('Analyse du classement'!$B$3:$B$102, $A15, 'Analyse du classement'!U$3:U$102)</f>
        <v>0</v>
      </c>
      <c r="W15" s="5">
        <f>AVERAGEIF('Analyse du classement'!$B$3:$B$102, $A15, 'Analyse du classement'!V$3:V$102)</f>
        <v>0</v>
      </c>
    </row>
    <row r="16" spans="1:23" x14ac:dyDescent="0.25">
      <c r="A16" s="1">
        <v>15</v>
      </c>
      <c r="B16" s="1" t="s">
        <v>15</v>
      </c>
      <c r="C16" s="6">
        <v>1</v>
      </c>
      <c r="D16" s="5">
        <f>AVERAGEIF('Analyse du classement'!$B$3:$B$102, $A16, 'Analyse du classement'!C$3:C$102)</f>
        <v>0</v>
      </c>
      <c r="E16" s="5">
        <f>AVERAGEIF('Analyse du classement'!$B$3:$B$102, $A16, 'Analyse du classement'!D$3:D$102)</f>
        <v>0</v>
      </c>
      <c r="F16" s="5">
        <f>AVERAGEIF('Analyse du classement'!$B$3:$B$102, $A16, 'Analyse du classement'!E$3:E$102)</f>
        <v>0</v>
      </c>
      <c r="G16" s="5">
        <f>AVERAGEIF('Analyse du classement'!$B$3:$B$102, $A16, 'Analyse du classement'!F$3:F$102)</f>
        <v>0</v>
      </c>
      <c r="H16" s="5">
        <f>AVERAGEIF('Analyse du classement'!$B$3:$B$102, $A16, 'Analyse du classement'!G$3:G$102)</f>
        <v>0</v>
      </c>
      <c r="I16" s="5">
        <f>AVERAGEIF('Analyse du classement'!$B$3:$B$102, $A16, 'Analyse du classement'!H$3:H$102)</f>
        <v>0</v>
      </c>
      <c r="J16" s="5">
        <f>AVERAGEIF('Analyse du classement'!$B$3:$B$102, $A16, 'Analyse du classement'!I$3:I$102)</f>
        <v>0</v>
      </c>
      <c r="K16" s="5">
        <f>AVERAGEIF('Analyse du classement'!$B$3:$B$102, $A16, 'Analyse du classement'!J$3:J$102)</f>
        <v>0</v>
      </c>
      <c r="L16" s="5">
        <f>AVERAGEIF('Analyse du classement'!$B$3:$B$102, $A16, 'Analyse du classement'!K$3:K$102)</f>
        <v>0</v>
      </c>
      <c r="M16" s="5">
        <f>AVERAGEIF('Analyse du classement'!$B$3:$B$102, $A16, 'Analyse du classement'!L$3:L$102)</f>
        <v>0</v>
      </c>
      <c r="N16" s="5">
        <f>AVERAGEIF('Analyse du classement'!$B$3:$B$102, $A16, 'Analyse du classement'!M$3:M$102)</f>
        <v>0</v>
      </c>
      <c r="O16" s="5">
        <f>AVERAGEIF('Analyse du classement'!$B$3:$B$102, $A16, 'Analyse du classement'!N$3:N$102)</f>
        <v>0</v>
      </c>
      <c r="P16" s="5">
        <f>AVERAGEIF('Analyse du classement'!$B$3:$B$102, $A16, 'Analyse du classement'!O$3:O$102)</f>
        <v>0</v>
      </c>
      <c r="Q16" s="5">
        <f>AVERAGEIF('Analyse du classement'!$B$3:$B$102, $A16, 'Analyse du classement'!P$3:P$102)</f>
        <v>0</v>
      </c>
      <c r="R16" s="5">
        <f>AVERAGEIF('Analyse du classement'!$B$3:$B$102, $A16, 'Analyse du classement'!Q$3:Q$102)</f>
        <v>1</v>
      </c>
      <c r="S16" s="5">
        <f>AVERAGEIF('Analyse du classement'!$B$3:$B$102, $A16, 'Analyse du classement'!R$3:R$102)</f>
        <v>0</v>
      </c>
      <c r="T16" s="5">
        <f>AVERAGEIF('Analyse du classement'!$B$3:$B$102, $A16, 'Analyse du classement'!S$3:S$102)</f>
        <v>0</v>
      </c>
      <c r="U16" s="5">
        <f>AVERAGEIF('Analyse du classement'!$B$3:$B$102, $A16, 'Analyse du classement'!T$3:T$102)</f>
        <v>0</v>
      </c>
      <c r="V16" s="5">
        <f>AVERAGEIF('Analyse du classement'!$B$3:$B$102, $A16, 'Analyse du classement'!U$3:U$102)</f>
        <v>0</v>
      </c>
      <c r="W16" s="5">
        <f>AVERAGEIF('Analyse du classement'!$B$3:$B$102, $A16, 'Analyse du classement'!V$3:V$102)</f>
        <v>0</v>
      </c>
    </row>
    <row r="17" spans="1:23" x14ac:dyDescent="0.25">
      <c r="A17" s="1">
        <v>16</v>
      </c>
      <c r="B17" s="1" t="s">
        <v>16</v>
      </c>
      <c r="C17" s="6">
        <v>1</v>
      </c>
      <c r="D17" s="5">
        <f>AVERAGEIF('Analyse du classement'!$B$3:$B$102, $A17, 'Analyse du classement'!C$3:C$102)</f>
        <v>0</v>
      </c>
      <c r="E17" s="5">
        <f>AVERAGEIF('Analyse du classement'!$B$3:$B$102, $A17, 'Analyse du classement'!D$3:D$102)</f>
        <v>0</v>
      </c>
      <c r="F17" s="5">
        <f>AVERAGEIF('Analyse du classement'!$B$3:$B$102, $A17, 'Analyse du classement'!E$3:E$102)</f>
        <v>0</v>
      </c>
      <c r="G17" s="5">
        <f>AVERAGEIF('Analyse du classement'!$B$3:$B$102, $A17, 'Analyse du classement'!F$3:F$102)</f>
        <v>0</v>
      </c>
      <c r="H17" s="5">
        <f>AVERAGEIF('Analyse du classement'!$B$3:$B$102, $A17, 'Analyse du classement'!G$3:G$102)</f>
        <v>0</v>
      </c>
      <c r="I17" s="5">
        <f>AVERAGEIF('Analyse du classement'!$B$3:$B$102, $A17, 'Analyse du classement'!H$3:H$102)</f>
        <v>0</v>
      </c>
      <c r="J17" s="5">
        <f>AVERAGEIF('Analyse du classement'!$B$3:$B$102, $A17, 'Analyse du classement'!I$3:I$102)</f>
        <v>0</v>
      </c>
      <c r="K17" s="5">
        <f>AVERAGEIF('Analyse du classement'!$B$3:$B$102, $A17, 'Analyse du classement'!J$3:J$102)</f>
        <v>0</v>
      </c>
      <c r="L17" s="5">
        <f>AVERAGEIF('Analyse du classement'!$B$3:$B$102, $A17, 'Analyse du classement'!K$3:K$102)</f>
        <v>0</v>
      </c>
      <c r="M17" s="5">
        <f>AVERAGEIF('Analyse du classement'!$B$3:$B$102, $A17, 'Analyse du classement'!L$3:L$102)</f>
        <v>0</v>
      </c>
      <c r="N17" s="5">
        <f>AVERAGEIF('Analyse du classement'!$B$3:$B$102, $A17, 'Analyse du classement'!M$3:M$102)</f>
        <v>0</v>
      </c>
      <c r="O17" s="5">
        <f>AVERAGEIF('Analyse du classement'!$B$3:$B$102, $A17, 'Analyse du classement'!N$3:N$102)</f>
        <v>0</v>
      </c>
      <c r="P17" s="5">
        <f>AVERAGEIF('Analyse du classement'!$B$3:$B$102, $A17, 'Analyse du classement'!O$3:O$102)</f>
        <v>0</v>
      </c>
      <c r="Q17" s="5">
        <f>AVERAGEIF('Analyse du classement'!$B$3:$B$102, $A17, 'Analyse du classement'!P$3:P$102)</f>
        <v>0</v>
      </c>
      <c r="R17" s="5">
        <f>AVERAGEIF('Analyse du classement'!$B$3:$B$102, $A17, 'Analyse du classement'!Q$3:Q$102)</f>
        <v>0</v>
      </c>
      <c r="S17" s="5">
        <f>AVERAGEIF('Analyse du classement'!$B$3:$B$102, $A17, 'Analyse du classement'!R$3:R$102)</f>
        <v>1</v>
      </c>
      <c r="T17" s="5">
        <f>AVERAGEIF('Analyse du classement'!$B$3:$B$102, $A17, 'Analyse du classement'!S$3:S$102)</f>
        <v>0</v>
      </c>
      <c r="U17" s="5">
        <f>AVERAGEIF('Analyse du classement'!$B$3:$B$102, $A17, 'Analyse du classement'!T$3:T$102)</f>
        <v>0</v>
      </c>
      <c r="V17" s="5">
        <f>AVERAGEIF('Analyse du classement'!$B$3:$B$102, $A17, 'Analyse du classement'!U$3:U$102)</f>
        <v>0</v>
      </c>
      <c r="W17" s="5">
        <f>AVERAGEIF('Analyse du classement'!$B$3:$B$102, $A17, 'Analyse du classement'!V$3:V$102)</f>
        <v>0</v>
      </c>
    </row>
    <row r="18" spans="1:23" x14ac:dyDescent="0.25">
      <c r="A18" s="1">
        <v>17</v>
      </c>
      <c r="B18" s="1" t="s">
        <v>17</v>
      </c>
      <c r="C18" s="6">
        <v>1</v>
      </c>
      <c r="D18" s="5">
        <f>AVERAGEIF('Analyse du classement'!$B$3:$B$102, $A18, 'Analyse du classement'!C$3:C$102)</f>
        <v>0</v>
      </c>
      <c r="E18" s="5">
        <f>AVERAGEIF('Analyse du classement'!$B$3:$B$102, $A18, 'Analyse du classement'!D$3:D$102)</f>
        <v>0</v>
      </c>
      <c r="F18" s="5">
        <f>AVERAGEIF('Analyse du classement'!$B$3:$B$102, $A18, 'Analyse du classement'!E$3:E$102)</f>
        <v>0</v>
      </c>
      <c r="G18" s="5">
        <f>AVERAGEIF('Analyse du classement'!$B$3:$B$102, $A18, 'Analyse du classement'!F$3:F$102)</f>
        <v>0</v>
      </c>
      <c r="H18" s="5">
        <f>AVERAGEIF('Analyse du classement'!$B$3:$B$102, $A18, 'Analyse du classement'!G$3:G$102)</f>
        <v>0</v>
      </c>
      <c r="I18" s="5">
        <f>AVERAGEIF('Analyse du classement'!$B$3:$B$102, $A18, 'Analyse du classement'!H$3:H$102)</f>
        <v>0</v>
      </c>
      <c r="J18" s="5">
        <f>AVERAGEIF('Analyse du classement'!$B$3:$B$102, $A18, 'Analyse du classement'!I$3:I$102)</f>
        <v>0</v>
      </c>
      <c r="K18" s="5">
        <f>AVERAGEIF('Analyse du classement'!$B$3:$B$102, $A18, 'Analyse du classement'!J$3:J$102)</f>
        <v>0</v>
      </c>
      <c r="L18" s="5">
        <f>AVERAGEIF('Analyse du classement'!$B$3:$B$102, $A18, 'Analyse du classement'!K$3:K$102)</f>
        <v>0</v>
      </c>
      <c r="M18" s="5">
        <f>AVERAGEIF('Analyse du classement'!$B$3:$B$102, $A18, 'Analyse du classement'!L$3:L$102)</f>
        <v>0</v>
      </c>
      <c r="N18" s="5">
        <f>AVERAGEIF('Analyse du classement'!$B$3:$B$102, $A18, 'Analyse du classement'!M$3:M$102)</f>
        <v>0</v>
      </c>
      <c r="O18" s="5">
        <f>AVERAGEIF('Analyse du classement'!$B$3:$B$102, $A18, 'Analyse du classement'!N$3:N$102)</f>
        <v>0</v>
      </c>
      <c r="P18" s="5">
        <f>AVERAGEIF('Analyse du classement'!$B$3:$B$102, $A18, 'Analyse du classement'!O$3:O$102)</f>
        <v>0</v>
      </c>
      <c r="Q18" s="5">
        <f>AVERAGEIF('Analyse du classement'!$B$3:$B$102, $A18, 'Analyse du classement'!P$3:P$102)</f>
        <v>0</v>
      </c>
      <c r="R18" s="5">
        <f>AVERAGEIF('Analyse du classement'!$B$3:$B$102, $A18, 'Analyse du classement'!Q$3:Q$102)</f>
        <v>0</v>
      </c>
      <c r="S18" s="5">
        <f>AVERAGEIF('Analyse du classement'!$B$3:$B$102, $A18, 'Analyse du classement'!R$3:R$102)</f>
        <v>0</v>
      </c>
      <c r="T18" s="5">
        <f>AVERAGEIF('Analyse du classement'!$B$3:$B$102, $A18, 'Analyse du classement'!S$3:S$102)</f>
        <v>1</v>
      </c>
      <c r="U18" s="5">
        <f>AVERAGEIF('Analyse du classement'!$B$3:$B$102, $A18, 'Analyse du classement'!T$3:T$102)</f>
        <v>0</v>
      </c>
      <c r="V18" s="5">
        <f>AVERAGEIF('Analyse du classement'!$B$3:$B$102, $A18, 'Analyse du classement'!U$3:U$102)</f>
        <v>0</v>
      </c>
      <c r="W18" s="5">
        <f>AVERAGEIF('Analyse du classement'!$B$3:$B$102, $A18, 'Analyse du classement'!V$3:V$102)</f>
        <v>0</v>
      </c>
    </row>
    <row r="19" spans="1:23" x14ac:dyDescent="0.25">
      <c r="A19" s="1">
        <v>18</v>
      </c>
      <c r="B19" s="1" t="s">
        <v>18</v>
      </c>
      <c r="C19" s="6">
        <v>1</v>
      </c>
      <c r="D19" s="5">
        <f>AVERAGEIF('Analyse du classement'!$B$3:$B$102, $A19, 'Analyse du classement'!C$3:C$102)</f>
        <v>0</v>
      </c>
      <c r="E19" s="5">
        <f>AVERAGEIF('Analyse du classement'!$B$3:$B$102, $A19, 'Analyse du classement'!D$3:D$102)</f>
        <v>0</v>
      </c>
      <c r="F19" s="5">
        <f>AVERAGEIF('Analyse du classement'!$B$3:$B$102, $A19, 'Analyse du classement'!E$3:E$102)</f>
        <v>0</v>
      </c>
      <c r="G19" s="5">
        <f>AVERAGEIF('Analyse du classement'!$B$3:$B$102, $A19, 'Analyse du classement'!F$3:F$102)</f>
        <v>0</v>
      </c>
      <c r="H19" s="5">
        <f>AVERAGEIF('Analyse du classement'!$B$3:$B$102, $A19, 'Analyse du classement'!G$3:G$102)</f>
        <v>0</v>
      </c>
      <c r="I19" s="5">
        <f>AVERAGEIF('Analyse du classement'!$B$3:$B$102, $A19, 'Analyse du classement'!H$3:H$102)</f>
        <v>0</v>
      </c>
      <c r="J19" s="5">
        <f>AVERAGEIF('Analyse du classement'!$B$3:$B$102, $A19, 'Analyse du classement'!I$3:I$102)</f>
        <v>0</v>
      </c>
      <c r="K19" s="5">
        <f>AVERAGEIF('Analyse du classement'!$B$3:$B$102, $A19, 'Analyse du classement'!J$3:J$102)</f>
        <v>0</v>
      </c>
      <c r="L19" s="5">
        <f>AVERAGEIF('Analyse du classement'!$B$3:$B$102, $A19, 'Analyse du classement'!K$3:K$102)</f>
        <v>0</v>
      </c>
      <c r="M19" s="5">
        <f>AVERAGEIF('Analyse du classement'!$B$3:$B$102, $A19, 'Analyse du classement'!L$3:L$102)</f>
        <v>0</v>
      </c>
      <c r="N19" s="5">
        <f>AVERAGEIF('Analyse du classement'!$B$3:$B$102, $A19, 'Analyse du classement'!M$3:M$102)</f>
        <v>0</v>
      </c>
      <c r="O19" s="5">
        <f>AVERAGEIF('Analyse du classement'!$B$3:$B$102, $A19, 'Analyse du classement'!N$3:N$102)</f>
        <v>0</v>
      </c>
      <c r="P19" s="5">
        <f>AVERAGEIF('Analyse du classement'!$B$3:$B$102, $A19, 'Analyse du classement'!O$3:O$102)</f>
        <v>0</v>
      </c>
      <c r="Q19" s="5">
        <f>AVERAGEIF('Analyse du classement'!$B$3:$B$102, $A19, 'Analyse du classement'!P$3:P$102)</f>
        <v>0</v>
      </c>
      <c r="R19" s="5">
        <f>AVERAGEIF('Analyse du classement'!$B$3:$B$102, $A19, 'Analyse du classement'!Q$3:Q$102)</f>
        <v>0</v>
      </c>
      <c r="S19" s="5">
        <f>AVERAGEIF('Analyse du classement'!$B$3:$B$102, $A19, 'Analyse du classement'!R$3:R$102)</f>
        <v>0</v>
      </c>
      <c r="T19" s="5">
        <f>AVERAGEIF('Analyse du classement'!$B$3:$B$102, $A19, 'Analyse du classement'!S$3:S$102)</f>
        <v>0</v>
      </c>
      <c r="U19" s="5">
        <f>AVERAGEIF('Analyse du classement'!$B$3:$B$102, $A19, 'Analyse du classement'!T$3:T$102)</f>
        <v>1</v>
      </c>
      <c r="V19" s="5">
        <f>AVERAGEIF('Analyse du classement'!$B$3:$B$102, $A19, 'Analyse du classement'!U$3:U$102)</f>
        <v>0</v>
      </c>
      <c r="W19" s="5">
        <f>AVERAGEIF('Analyse du classement'!$B$3:$B$102, $A19, 'Analyse du classement'!V$3:V$102)</f>
        <v>0</v>
      </c>
    </row>
    <row r="20" spans="1:23" x14ac:dyDescent="0.25">
      <c r="A20" s="1">
        <v>19</v>
      </c>
      <c r="B20" s="1" t="s">
        <v>19</v>
      </c>
      <c r="C20" s="6">
        <v>0.99375000000000002</v>
      </c>
      <c r="D20" s="5">
        <f>AVERAGEIF('Analyse du classement'!$B$3:$B$102, $A20, 'Analyse du classement'!C$3:C$102)</f>
        <v>0</v>
      </c>
      <c r="E20" s="5">
        <f>AVERAGEIF('Analyse du classement'!$B$3:$B$102, $A20, 'Analyse du classement'!D$3:D$102)</f>
        <v>0</v>
      </c>
      <c r="F20" s="5">
        <f>AVERAGEIF('Analyse du classement'!$B$3:$B$102, $A20, 'Analyse du classement'!E$3:E$102)</f>
        <v>6.2500000000000003E-3</v>
      </c>
      <c r="G20" s="5">
        <f>AVERAGEIF('Analyse du classement'!$B$3:$B$102, $A20, 'Analyse du classement'!F$3:F$102)</f>
        <v>0</v>
      </c>
      <c r="H20" s="5">
        <f>AVERAGEIF('Analyse du classement'!$B$3:$B$102, $A20, 'Analyse du classement'!G$3:G$102)</f>
        <v>0</v>
      </c>
      <c r="I20" s="5">
        <f>AVERAGEIF('Analyse du classement'!$B$3:$B$102, $A20, 'Analyse du classement'!H$3:H$102)</f>
        <v>0</v>
      </c>
      <c r="J20" s="5">
        <f>AVERAGEIF('Analyse du classement'!$B$3:$B$102, $A20, 'Analyse du classement'!I$3:I$102)</f>
        <v>0</v>
      </c>
      <c r="K20" s="5">
        <f>AVERAGEIF('Analyse du classement'!$B$3:$B$102, $A20, 'Analyse du classement'!J$3:J$102)</f>
        <v>0</v>
      </c>
      <c r="L20" s="5">
        <f>AVERAGEIF('Analyse du classement'!$B$3:$B$102, $A20, 'Analyse du classement'!K$3:K$102)</f>
        <v>0</v>
      </c>
      <c r="M20" s="5">
        <f>AVERAGEIF('Analyse du classement'!$B$3:$B$102, $A20, 'Analyse du classement'!L$3:L$102)</f>
        <v>0</v>
      </c>
      <c r="N20" s="5">
        <f>AVERAGEIF('Analyse du classement'!$B$3:$B$102, $A20, 'Analyse du classement'!M$3:M$102)</f>
        <v>0</v>
      </c>
      <c r="O20" s="5">
        <f>AVERAGEIF('Analyse du classement'!$B$3:$B$102, $A20, 'Analyse du classement'!N$3:N$102)</f>
        <v>0</v>
      </c>
      <c r="P20" s="5">
        <f>AVERAGEIF('Analyse du classement'!$B$3:$B$102, $A20, 'Analyse du classement'!O$3:O$102)</f>
        <v>0</v>
      </c>
      <c r="Q20" s="5">
        <f>AVERAGEIF('Analyse du classement'!$B$3:$B$102, $A20, 'Analyse du classement'!P$3:P$102)</f>
        <v>0</v>
      </c>
      <c r="R20" s="5">
        <f>AVERAGEIF('Analyse du classement'!$B$3:$B$102, $A20, 'Analyse du classement'!Q$3:Q$102)</f>
        <v>0</v>
      </c>
      <c r="S20" s="5">
        <f>AVERAGEIF('Analyse du classement'!$B$3:$B$102, $A20, 'Analyse du classement'!R$3:R$102)</f>
        <v>0</v>
      </c>
      <c r="T20" s="5">
        <f>AVERAGEIF('Analyse du classement'!$B$3:$B$102, $A20, 'Analyse du classement'!S$3:S$102)</f>
        <v>0</v>
      </c>
      <c r="U20" s="5">
        <f>AVERAGEIF('Analyse du classement'!$B$3:$B$102, $A20, 'Analyse du classement'!T$3:T$102)</f>
        <v>0</v>
      </c>
      <c r="V20" s="5">
        <f>AVERAGEIF('Analyse du classement'!$B$3:$B$102, $A20, 'Analyse du classement'!U$3:U$102)</f>
        <v>0.99375000000000002</v>
      </c>
      <c r="W20" s="5">
        <f>AVERAGEIF('Analyse du classement'!$B$3:$B$102, $A20, 'Analyse du classement'!V$3:V$102)</f>
        <v>0</v>
      </c>
    </row>
    <row r="21" spans="1:23" x14ac:dyDescent="0.25">
      <c r="A21" s="1">
        <v>20</v>
      </c>
      <c r="B21" s="1" t="s">
        <v>20</v>
      </c>
      <c r="C21" s="6">
        <v>1</v>
      </c>
      <c r="D21" s="5">
        <f>AVERAGEIF('Analyse du classement'!$B$3:$B$102, $A21, 'Analyse du classement'!C$3:C$102)</f>
        <v>0</v>
      </c>
      <c r="E21" s="5">
        <f>AVERAGEIF('Analyse du classement'!$B$3:$B$102, $A21, 'Analyse du classement'!D$3:D$102)</f>
        <v>0</v>
      </c>
      <c r="F21" s="5">
        <f>AVERAGEIF('Analyse du classement'!$B$3:$B$102, $A21, 'Analyse du classement'!E$3:E$102)</f>
        <v>0</v>
      </c>
      <c r="G21" s="5">
        <f>AVERAGEIF('Analyse du classement'!$B$3:$B$102, $A21, 'Analyse du classement'!F$3:F$102)</f>
        <v>0</v>
      </c>
      <c r="H21" s="5">
        <f>AVERAGEIF('Analyse du classement'!$B$3:$B$102, $A21, 'Analyse du classement'!G$3:G$102)</f>
        <v>0</v>
      </c>
      <c r="I21" s="5">
        <f>AVERAGEIF('Analyse du classement'!$B$3:$B$102, $A21, 'Analyse du classement'!H$3:H$102)</f>
        <v>0</v>
      </c>
      <c r="J21" s="5">
        <f>AVERAGEIF('Analyse du classement'!$B$3:$B$102, $A21, 'Analyse du classement'!I$3:I$102)</f>
        <v>0</v>
      </c>
      <c r="K21" s="5">
        <f>AVERAGEIF('Analyse du classement'!$B$3:$B$102, $A21, 'Analyse du classement'!J$3:J$102)</f>
        <v>0</v>
      </c>
      <c r="L21" s="5">
        <f>AVERAGEIF('Analyse du classement'!$B$3:$B$102, $A21, 'Analyse du classement'!K$3:K$102)</f>
        <v>0</v>
      </c>
      <c r="M21" s="5">
        <f>AVERAGEIF('Analyse du classement'!$B$3:$B$102, $A21, 'Analyse du classement'!L$3:L$102)</f>
        <v>0</v>
      </c>
      <c r="N21" s="5">
        <f>AVERAGEIF('Analyse du classement'!$B$3:$B$102, $A21, 'Analyse du classement'!M$3:M$102)</f>
        <v>0</v>
      </c>
      <c r="O21" s="5">
        <f>AVERAGEIF('Analyse du classement'!$B$3:$B$102, $A21, 'Analyse du classement'!N$3:N$102)</f>
        <v>0</v>
      </c>
      <c r="P21" s="5">
        <f>AVERAGEIF('Analyse du classement'!$B$3:$B$102, $A21, 'Analyse du classement'!O$3:O$102)</f>
        <v>0</v>
      </c>
      <c r="Q21" s="5">
        <f>AVERAGEIF('Analyse du classement'!$B$3:$B$102, $A21, 'Analyse du classement'!P$3:P$102)</f>
        <v>0</v>
      </c>
      <c r="R21" s="5">
        <f>AVERAGEIF('Analyse du classement'!$B$3:$B$102, $A21, 'Analyse du classement'!Q$3:Q$102)</f>
        <v>0</v>
      </c>
      <c r="S21" s="5">
        <f>AVERAGEIF('Analyse du classement'!$B$3:$B$102, $A21, 'Analyse du classement'!R$3:R$102)</f>
        <v>0</v>
      </c>
      <c r="T21" s="5">
        <f>AVERAGEIF('Analyse du classement'!$B$3:$B$102, $A21, 'Analyse du classement'!S$3:S$102)</f>
        <v>0</v>
      </c>
      <c r="U21" s="5">
        <f>AVERAGEIF('Analyse du classement'!$B$3:$B$102, $A21, 'Analyse du classement'!T$3:T$102)</f>
        <v>0</v>
      </c>
      <c r="V21" s="5">
        <f>AVERAGEIF('Analyse du classement'!$B$3:$B$102, $A21, 'Analyse du classement'!U$3:U$102)</f>
        <v>0</v>
      </c>
      <c r="W21" s="5">
        <f>AVERAGEIF('Analyse du classement'!$B$3:$B$102, $A21, 'Analyse du classement'!V$3:V$102)</f>
        <v>1</v>
      </c>
    </row>
  </sheetData>
  <phoneticPr fontId="2" type="noConversion"/>
  <conditionalFormatting sqref="C2:C21">
    <cfRule type="cellIs" dxfId="3" priority="2" operator="greaterThan">
      <formula>0.75</formula>
    </cfRule>
    <cfRule type="cellIs" dxfId="2" priority="3" operator="between">
      <formula>0.5</formula>
      <formula>0.75</formula>
    </cfRule>
    <cfRule type="cellIs" dxfId="1" priority="4" operator="lessThan">
      <formula>0.5</formula>
    </cfRule>
  </conditionalFormatting>
  <conditionalFormatting sqref="D2:W21">
    <cfRule type="cellIs" dxfId="0" priority="1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Consignes</vt:lpstr>
      <vt:lpstr>Catégories</vt:lpstr>
      <vt:lpstr>Cartes</vt:lpstr>
      <vt:lpstr>Réponses</vt:lpstr>
      <vt:lpstr>Analyse du classement</vt:lpstr>
      <vt:lpstr>Fiabilité catégories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Motte</dc:creator>
  <cp:lastModifiedBy>Isabelle Motte</cp:lastModifiedBy>
  <dcterms:created xsi:type="dcterms:W3CDTF">2026-03-08T04:51:02Z</dcterms:created>
  <dcterms:modified xsi:type="dcterms:W3CDTF">2026-03-08T20:46:08Z</dcterms:modified>
</cp:coreProperties>
</file>